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11437f410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6454d954cb349f9"/>
    <x:sheet xmlns:r="http://schemas.openxmlformats.org/officeDocument/2006/relationships" name="Products" sheetId="2" r:id="R45ce4544e8f147a3"/>
    <x:sheet xmlns:r="http://schemas.openxmlformats.org/officeDocument/2006/relationships" name="Sales" sheetId="3" r:id="Rd04ddabdb6a642d8"/>
    <x:sheet xmlns:r="http://schemas.openxmlformats.org/officeDocument/2006/relationships" name="Production" sheetId="4" r:id="Re498193a5dbf483d"/>
    <x:sheet xmlns:r="http://schemas.openxmlformats.org/officeDocument/2006/relationships" name="Inventory" sheetId="5" r:id="R1d55c0ae932240d2"/>
    <x:sheet xmlns:r="http://schemas.openxmlformats.org/officeDocument/2006/relationships" name="Capacity" sheetId="6" r:id="Redbcc226e17143b9"/>
    <x:sheet xmlns:r="http://schemas.openxmlformats.org/officeDocument/2006/relationships" name="KPI_Calculations" sheetId="7" r:id="Re0cb9f714e0d4b3c"/>
    <x:sheet xmlns:r="http://schemas.openxmlformats.org/officeDocument/2006/relationships" name="Product_Summary" sheetId="8" r:id="R09d07e68024e45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"/>
    <x:numFmt numFmtId="201" formatCode="$#,##0"/>
    <x:numFmt numFmtId="202" formatCode="0.0%"/>
    <x:numFmt numFmtId="203" formatCode="#,##0"/>
    <x:numFmt numFmtId="204" formatCode="0.00x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4" borderId="1" xfId="0" applyNumberFormat="1" applyFont="1" applyFill="1" applyBorder="1" applyAlignment="1">
      <x:alignment horizontal="center"/>
    </x:xf>
    <x:xf numFmtId="202" fontId="4" fillId="4" borderId="0" xfId="0" applyNumberFormat="1" applyFont="1" applyFill="1" applyBorder="1" applyAlignment="1">
      <x:alignment horizontal="center"/>
    </x:xf>
    <x:xf numFmtId="202" fontId="4" fillId="4" borderId="1" xfId="0" applyNumberFormat="1" applyFont="1" applyFill="1" applyBorder="1" applyAlignment="1">
      <x:alignment horizontal="center"/>
    </x:xf>
    <x:xf numFmtId="204" fontId="4" fillId="4" borderId="0" xfId="0" applyNumberFormat="1" applyFont="1" applyFill="1" applyBorder="1" applyAlignment="1">
      <x:alignment horizontal="center"/>
    </x:xf>
    <x:xf numFmtId="204" fontId="4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6d5bf8e0647aa" /><Relationship Type="http://schemas.openxmlformats.org/officeDocument/2006/relationships/theme" Target="/xl/theme/theme1.xml" Id="R489add6278fc4a49" /><Relationship Type="http://schemas.openxmlformats.org/officeDocument/2006/relationships/sharedStrings" Target="/xl/sharedStrings.xml" Id="Rca895d25bd174b44" /><Relationship Type="http://schemas.openxmlformats.org/officeDocument/2006/relationships/worksheet" Target="/xl/worksheets/sheet1.xml" Id="Rc6454d954cb349f9" /><Relationship Type="http://schemas.openxmlformats.org/officeDocument/2006/relationships/worksheet" Target="/xl/worksheets/sheet2.xml" Id="R45ce4544e8f147a3" /><Relationship Type="http://schemas.openxmlformats.org/officeDocument/2006/relationships/worksheet" Target="/xl/worksheets/sheet3.xml" Id="Rd04ddabdb6a642d8" /><Relationship Type="http://schemas.openxmlformats.org/officeDocument/2006/relationships/worksheet" Target="/xl/worksheets/sheet4.xml" Id="Re498193a5dbf483d" /><Relationship Type="http://schemas.openxmlformats.org/officeDocument/2006/relationships/worksheet" Target="/xl/worksheets/sheet5.xml" Id="R1d55c0ae932240d2" /><Relationship Type="http://schemas.openxmlformats.org/officeDocument/2006/relationships/worksheet" Target="/xl/worksheets/sheet6.xml" Id="Redbcc226e17143b9" /><Relationship Type="http://schemas.openxmlformats.org/officeDocument/2006/relationships/worksheet" Target="/xl/worksheets/sheet7.xml" Id="Re0cb9f714e0d4b3c" /><Relationship Type="http://schemas.openxmlformats.org/officeDocument/2006/relationships/worksheet" Target="/xl/worksheets/sheet8.xml" Id="R09d07e68024e45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b961ecac714292" /><Relationship Type="http://schemas.openxmlformats.org/officeDocument/2006/relationships/chart" Target="/xl/drawings/charts/chart2.xml" Id="Re35ed083712f44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Production vs Demand</a:t>
            </a:r>
          </a:p>
        </c:rich>
      </c:tx>
    </c:title>
    <c:plotArea>
      <c:lineChart>
        <c:grouping val="standard"/>
        <c:ser>
          <c:idx val="0"/>
          <c:order val="0"/>
          <c:tx>
            <c:v>Actual Production</c:v>
          </c:tx>
          <c:marker>
            <c:symbol val="none"/>
          </c:marker>
          <c:cat>
            <c:strRef>
              <c:f>'Dashboard'!$E$11:$E$22</c:f>
              <c:strCache>
                <c:ptCount val="0"/>
              </c:strCache>
            </c:strRef>
          </c:cat>
          <c:val>
            <c:numRef>
              <c:f>'Dashboard'!$F$11:$F$22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Demand</c:v>
          </c:tx>
          <c:marker>
            <c:symbol val="none"/>
          </c:marker>
          <c:cat>
            <c:strRef>
              <c:f>'Dashboard'!$E$11:$E$22</c:f>
              <c:strCache>
                <c:ptCount val="0"/>
              </c:strCache>
            </c:strRef>
          </c:cat>
          <c:val>
            <c:numRef>
              <c:f>'Dashboard'!$G$11:$G$22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961ecac71429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5ed083712f44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e78e7a16ff473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4" hidden="0" customWidth="1"/>
    <x:col min="7" max="7" width="16" hidden="0" customWidth="1"/>
    <x:col min="8" max="8" width="16" hidden="0" customWidth="1"/>
  </x:cols>
  <x:sheetData>
    <x:row r="1">
      <x:c r="A1" s="34" t="str">
        <x:v>APEX TECH GEAR — PRODUCTION &amp; INVENTORY ANALYSIS</x:v>
      </x:c>
      <x:c r="B1" s="34"/>
      <x:c r="C1" s="34"/>
      <x:c r="D1" s="34"/>
      <x:c r="E1" s="34"/>
      <x:c r="F1" s="34"/>
      <x:c r="G1" s="34"/>
      <x:c r="H1" s="34"/>
    </x:row>
    <x:row r="3">
      <x:c r="A3" s="38" t="str">
        <x:v>Revenue</x:v>
      </x:c>
      <x:c r="B3" s="38"/>
      <x:c r="D3" s="38" t="str">
        <x:v>Gross Profit</x:v>
      </x:c>
      <x:c r="E3" s="38"/>
      <x:c r="G3" s="38" t="str">
        <x:v>Gross Margin</x:v>
      </x:c>
      <x:c r="H3" s="38"/>
    </x:row>
    <x:row r="4">
      <x:c r="A4" s="48" t="n">
        <x:f>KPI_Calculations!C4</x:f>
        <x:v>11853750</x:v>
      </x:c>
      <x:c r="B4" s="48"/>
      <x:c r="D4" s="48" t="n">
        <x:f>KPI_Calculations!C6</x:f>
        <x:v>6292840</x:v>
      </x:c>
      <x:c r="E4" s="48"/>
      <x:c r="G4" s="50" t="n">
        <x:f>KPI_Calculations!C7</x:f>
        <x:v>0.5308733523146684</x:v>
      </x:c>
      <x:c r="H4" s="50"/>
    </x:row>
    <x:row r="6">
      <x:c r="A6" s="38" t="str">
        <x:v>Fill Rate</x:v>
      </x:c>
      <x:c r="B6" s="38"/>
      <x:c r="D6" s="38" t="str">
        <x:v>Capacity Util.</x:v>
      </x:c>
      <x:c r="E6" s="38"/>
      <x:c r="G6" s="38" t="str">
        <x:v>Stock-out Rate</x:v>
      </x:c>
      <x:c r="H6" s="38"/>
    </x:row>
    <x:row r="7">
      <x:c r="A7" s="50" t="n">
        <x:f>KPI_Calculations!C10</x:f>
        <x:v>1</x:v>
      </x:c>
      <x:c r="B7" s="50"/>
      <x:c r="D7" s="50" t="n">
        <x:f>KPI_Calculations!C17</x:f>
        <x:v>0.9539959016393442</x:v>
      </x:c>
      <x:c r="E7" s="50"/>
      <x:c r="G7" s="50" t="n">
        <x:f>KPI_Calculations!C21</x:f>
        <x:v>0</x:v>
      </x:c>
      <x:c r="H7" s="50"/>
    </x:row>
    <x:row r="10">
      <x:c r="A10" s="5" t="str">
        <x:v>Month</x:v>
      </x:c>
      <x:c r="B10" s="5" t="str">
        <x:v>Revenue</x:v>
      </x:c>
      <x:c r="C10" s="5" t="str"/>
      <x:c r="D10" s="5"/>
      <x:c r="E10" s="5" t="str">
        <x:v>Month</x:v>
      </x:c>
      <x:c r="F10" s="5" t="str">
        <x:v>Actual Production</x:v>
      </x:c>
      <x:c r="G10" s="5" t="str">
        <x:v>Demand</x:v>
      </x:c>
    </x:row>
    <x:row r="11">
      <x:c r="A11" t="str">
        <x:v>2025-01</x:v>
      </x:c>
      <x:c r="B11" s="12" t="n">
        <x:v>843500</x:v>
      </x:c>
      <x:c r="C11" s="20"/>
      <x:c r="D11" s="20"/>
      <x:c r="E11" t="str">
        <x:v>2025-01</x:v>
      </x:c>
      <x:c r="F11" s="20" t="n">
        <x:v>10440</x:v>
      </x:c>
      <x:c r="G11" s="20" t="n">
        <x:v>10250</x:v>
      </x:c>
    </x:row>
    <x:row r="12">
      <x:c r="A12" t="str">
        <x:v>2025-02</x:v>
      </x:c>
      <x:c r="B12" s="12" t="n">
        <x:v>844000</x:v>
      </x:c>
      <x:c r="C12" s="20"/>
      <x:c r="D12" s="20"/>
      <x:c r="E12" t="str">
        <x:v>2025-02</x:v>
      </x:c>
      <x:c r="F12" s="20" t="n">
        <x:v>10340</x:v>
      </x:c>
      <x:c r="G12" s="20" t="n">
        <x:v>10180</x:v>
      </x:c>
    </x:row>
    <x:row r="13">
      <x:c r="A13" t="str">
        <x:v>2025-03</x:v>
      </x:c>
      <x:c r="B13" s="12" t="n">
        <x:v>858500</x:v>
      </x:c>
      <x:c r="C13" s="20"/>
      <x:c r="D13" s="20"/>
      <x:c r="E13" t="str">
        <x:v>2025-03</x:v>
      </x:c>
      <x:c r="F13" s="20" t="n">
        <x:v>10580</x:v>
      </x:c>
      <x:c r="G13" s="20" t="n">
        <x:v>10520</x:v>
      </x:c>
    </x:row>
    <x:row r="14">
      <x:c r="A14" t="str">
        <x:v>2025-04</x:v>
      </x:c>
      <x:c r="B14" s="12" t="n">
        <x:v>943000</x:v>
      </x:c>
      <x:c r="C14" s="20"/>
      <x:c r="D14" s="20"/>
      <x:c r="E14" t="str">
        <x:v>2025-04</x:v>
      </x:c>
      <x:c r="F14" s="20" t="n">
        <x:v>11260</x:v>
      </x:c>
      <x:c r="G14" s="20" t="n">
        <x:v>11400</x:v>
      </x:c>
    </x:row>
    <x:row r="15">
      <x:c r="A15" t="str">
        <x:v>2025-05</x:v>
      </x:c>
      <x:c r="B15" s="12" t="n">
        <x:v>935250</x:v>
      </x:c>
      <x:c r="C15" s="20"/>
      <x:c r="D15" s="20"/>
      <x:c r="E15" t="str">
        <x:v>2025-05</x:v>
      </x:c>
      <x:c r="F15" s="20" t="n">
        <x:v>11240</x:v>
      </x:c>
      <x:c r="G15" s="20" t="n">
        <x:v>11310</x:v>
      </x:c>
    </x:row>
    <x:row r="16">
      <x:c r="A16" t="str">
        <x:v>2025-06</x:v>
      </x:c>
      <x:c r="B16" s="12" t="n">
        <x:v>979000</x:v>
      </x:c>
      <x:c r="C16" s="20"/>
      <x:c r="D16" s="20"/>
      <x:c r="E16" t="str">
        <x:v>2025-06</x:v>
      </x:c>
      <x:c r="F16" s="20" t="n">
        <x:v>11740</x:v>
      </x:c>
      <x:c r="G16" s="20" t="n">
        <x:v>11990</x:v>
      </x:c>
    </x:row>
    <x:row r="17">
      <x:c r="A17" t="str">
        <x:v>2025-07</x:v>
      </x:c>
      <x:c r="B17" s="12" t="n">
        <x:v>1037500</x:v>
      </x:c>
      <x:c r="C17" s="20"/>
      <x:c r="D17" s="20"/>
      <x:c r="E17" t="str">
        <x:v>2025-07</x:v>
      </x:c>
      <x:c r="F17" s="20" t="n">
        <x:v>12050</x:v>
      </x:c>
      <x:c r="G17" s="20" t="n">
        <x:v>12630</x:v>
      </x:c>
    </x:row>
    <x:row r="18">
      <x:c r="A18" t="str">
        <x:v>2025-08</x:v>
      </x:c>
      <x:c r="B18" s="12" t="n">
        <x:v>1012750</x:v>
      </x:c>
      <x:c r="C18" s="20"/>
      <x:c r="D18" s="20"/>
      <x:c r="E18" t="str">
        <x:v>2025-08</x:v>
      </x:c>
      <x:c r="F18" s="20" t="n">
        <x:v>12135</x:v>
      </x:c>
      <x:c r="G18" s="20" t="n">
        <x:v>12320</x:v>
      </x:c>
    </x:row>
    <x:row r="19">
      <x:c r="A19" t="str">
        <x:v>2025-09</x:v>
      </x:c>
      <x:c r="B19" s="12" t="n">
        <x:v>951750</x:v>
      </x:c>
      <x:c r="C19" s="20"/>
      <x:c r="D19" s="20"/>
      <x:c r="E19" t="str">
        <x:v>2025-09</x:v>
      </x:c>
      <x:c r="F19" s="20" t="n">
        <x:v>11490</x:v>
      </x:c>
      <x:c r="G19" s="20" t="n">
        <x:v>11720</x:v>
      </x:c>
    </x:row>
    <x:row r="20">
      <x:c r="A20" t="str">
        <x:v>2025-10</x:v>
      </x:c>
      <x:c r="B20" s="12" t="n">
        <x:v>1069500</x:v>
      </x:c>
      <x:c r="C20" s="20"/>
      <x:c r="D20" s="20"/>
      <x:c r="E20" t="str">
        <x:v>2025-10</x:v>
      </x:c>
      <x:c r="F20" s="20" t="n">
        <x:v>12360</x:v>
      </x:c>
      <x:c r="G20" s="20" t="n">
        <x:v>13000</x:v>
      </x:c>
    </x:row>
    <x:row r="21">
      <x:c r="A21" t="str">
        <x:v>2025-11</x:v>
      </x:c>
      <x:c r="B21" s="12" t="n">
        <x:v>1146500</x:v>
      </x:c>
      <x:c r="C21" s="20"/>
      <x:c r="D21" s="20"/>
      <x:c r="E21" t="str">
        <x:v>2025-11</x:v>
      </x:c>
      <x:c r="F21" s="20" t="n">
        <x:v>12820</x:v>
      </x:c>
      <x:c r="G21" s="20" t="n">
        <x:v>13980</x:v>
      </x:c>
    </x:row>
    <x:row r="22">
      <x:c r="A22" t="str">
        <x:v>2025-12</x:v>
      </x:c>
      <x:c r="B22" s="12" t="n">
        <x:v>1232500</x:v>
      </x:c>
      <x:c r="C22" s="20"/>
      <x:c r="D22" s="20"/>
      <x:c r="E22" t="str">
        <x:v>2025-12</x:v>
      </x:c>
      <x:c r="F22" s="20" t="n">
        <x:v>13210</x:v>
      </x:c>
      <x:c r="G22" s="20" t="n">
        <x:v>15100</x:v>
      </x:c>
    </x:row>
  </x:sheetData>
  <x:mergeCells>
    <x:mergeCell ref="A1:H1"/>
    <x:mergeCell ref="A3:B3"/>
    <x:mergeCell ref="A4:B4"/>
    <x:mergeCell ref="D3:E3"/>
    <x:mergeCell ref="D4:E4"/>
    <x:mergeCell ref="G3:H3"/>
    <x:mergeCell ref="G4:H4"/>
    <x:mergeCell ref="A6:B6"/>
    <x:mergeCell ref="A7:B7"/>
    <x:mergeCell ref="D6:E6"/>
    <x:mergeCell ref="D7:E7"/>
    <x:mergeCell ref="G6:H6"/>
    <x:mergeCell ref="G7:H7"/>
  </x:mergeCells>
  <x:pageMargins left="0.7" right="0.7" top="0.75" bottom="0.75" header="0.3" footer="0.3"/>
  <x:drawing xmlns:r="http://schemas.openxmlformats.org/officeDocument/2006/relationships" r:id="Ra7e78e7a16ff473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1" hidden="0" customWidth="1"/>
    <x:col min="4" max="4" width="12" hidden="0" customWidth="1"/>
    <x:col min="5" max="5" width="15" hidden="0" customWidth="1"/>
  </x:cols>
  <x:sheetData>
    <x:row r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Unit_Cost</x:v>
      </x:c>
      <x:c r="E1" s="5" t="str">
        <x:v>Selling_Price</x:v>
      </x:c>
    </x:row>
    <x:row r="2">
      <x:c r="A2" t="str">
        <x:v>P101</x:v>
      </x:c>
      <x:c r="B2" t="str">
        <x:v>Smart Thermostat Pro</x:v>
      </x:c>
      <x:c r="C2" t="str">
        <x:v>Smart Home</x:v>
      </x:c>
      <x:c r="D2" s="10" t="n">
        <x:v>65</x:v>
      </x:c>
      <x:c r="E2" s="10" t="n">
        <x:v>120</x:v>
      </x:c>
    </x:row>
    <x:row r="3">
      <x:c r="A3" t="str">
        <x:v>P102</x:v>
      </x:c>
      <x:c r="B3" t="str">
        <x:v>Eco-Sensor Hub</x:v>
      </x:c>
      <x:c r="C3" t="str">
        <x:v>Smart Home</x:v>
      </x:c>
      <x:c r="D3" s="10" t="n">
        <x:v>30</x:v>
      </x:c>
      <x:c r="E3" s="10" t="n">
        <x:v>55</x:v>
      </x:c>
    </x:row>
    <x:row r="4">
      <x:c r="A4" t="str">
        <x:v>P103</x:v>
      </x:c>
      <x:c r="B4" t="str">
        <x:v>Industrial Controller X</x:v>
      </x:c>
      <x:c r="C4" t="str">
        <x:v>Industrial Controls</x:v>
      </x:c>
      <x:c r="D4" s="10" t="n">
        <x:v>210</x:v>
      </x:c>
      <x:c r="E4" s="10" t="n">
        <x:v>450</x:v>
      </x:c>
    </x:row>
    <x:row r="5">
      <x:c r="A5" t="str">
        <x:v>P104</x:v>
      </x:c>
      <x:c r="B5" t="str">
        <x:v>Automation Relay V2</x:v>
      </x:c>
      <x:c r="C5" t="str">
        <x:v>Industrial Controls</x:v>
      </x:c>
      <x:c r="D5" s="10" t="n">
        <x:v>45</x:v>
      </x:c>
      <x:c r="E5" s="10" t="n">
        <x:v>90</x:v>
      </x:c>
    </x:row>
    <x:row r="6">
      <x:c r="A6" t="str">
        <x:v>P105</x:v>
      </x:c>
      <x:c r="B6" t="str">
        <x:v>Wearable Battery Pack</x:v>
      </x:c>
      <x:c r="C6" t="str">
        <x:v>Accessories</x:v>
      </x:c>
      <x:c r="D6" s="10" t="n">
        <x:v>18</x:v>
      </x:c>
      <x:c r="E6" s="10" t="n">
        <x:v>40</x:v>
      </x:c>
    </x:row>
    <x:row r="7">
      <x:c r="A7" t="str">
        <x:v>P106</x:v>
      </x:c>
      <x:c r="B7" t="str">
        <x:v>Solar Power Bank 10K</x:v>
      </x:c>
      <x:c r="C7" t="str">
        <x:v>Accessories</x:v>
      </x:c>
      <x:c r="D7" s="10" t="n">
        <x:v>25</x:v>
      </x:c>
      <x:c r="E7" s="10" t="n">
        <x:v>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</x:cols>
  <x:sheetData>
    <x:row r="1">
      <x:c r="A1" s="5" t="str">
        <x:v>Month</x:v>
      </x:c>
      <x:c r="B1" s="5" t="str">
        <x:v>Product_ID</x:v>
      </x:c>
      <x:c r="C1" s="5" t="str">
        <x:v>Demand_Units</x:v>
      </x:c>
      <x:c r="D1" s="5" t="str">
        <x:v>Units_Sold</x:v>
      </x:c>
      <x:c r="E1" s="5" t="str">
        <x:v>Revenue</x:v>
      </x:c>
    </x:row>
    <x:row r="2">
      <x:c r="A2" t="str">
        <x:v>2025-01</x:v>
      </x:c>
      <x:c r="B2" t="str">
        <x:v>P101</x:v>
      </x:c>
      <x:c r="C2" t="n">
        <x:v>1200</x:v>
      </x:c>
      <x:c r="D2" t="n">
        <x:v>1200</x:v>
      </x:c>
      <x:c r="E2" s="12" t="n">
        <x:v>144000</x:v>
      </x:c>
    </x:row>
    <x:row r="3">
      <x:c r="A3" t="str">
        <x:v>2025-01</x:v>
      </x:c>
      <x:c r="B3" t="str">
        <x:v>P102</x:v>
      </x:c>
      <x:c r="C3" t="n">
        <x:v>2200</x:v>
      </x:c>
      <x:c r="D3" t="n">
        <x:v>2200</x:v>
      </x:c>
      <x:c r="E3" s="12" t="n">
        <x:v>121000</x:v>
      </x:c>
    </x:row>
    <x:row r="4">
      <x:c r="A4" t="str">
        <x:v>2025-01</x:v>
      </x:c>
      <x:c r="B4" t="str">
        <x:v>P103</x:v>
      </x:c>
      <x:c r="C4" t="n">
        <x:v>450</x:v>
      </x:c>
      <x:c r="D4" t="n">
        <x:v>450</x:v>
      </x:c>
      <x:c r="E4" s="12" t="n">
        <x:v>202500</x:v>
      </x:c>
    </x:row>
    <x:row r="5">
      <x:c r="A5" t="str">
        <x:v>2025-01</x:v>
      </x:c>
      <x:c r="B5" t="str">
        <x:v>P104</x:v>
      </x:c>
      <x:c r="C5" t="n">
        <x:v>1800</x:v>
      </x:c>
      <x:c r="D5" t="n">
        <x:v>1800</x:v>
      </x:c>
      <x:c r="E5" s="12" t="n">
        <x:v>162000</x:v>
      </x:c>
    </x:row>
    <x:row r="6">
      <x:c r="A6" t="str">
        <x:v>2025-01</x:v>
      </x:c>
      <x:c r="B6" t="str">
        <x:v>P105</x:v>
      </x:c>
      <x:c r="C6" t="n">
        <x:v>3100</x:v>
      </x:c>
      <x:c r="D6" t="n">
        <x:v>3100</x:v>
      </x:c>
      <x:c r="E6" s="12" t="n">
        <x:v>124000</x:v>
      </x:c>
    </x:row>
    <x:row r="7">
      <x:c r="A7" t="str">
        <x:v>2025-01</x:v>
      </x:c>
      <x:c r="B7" t="str">
        <x:v>P106</x:v>
      </x:c>
      <x:c r="C7" t="n">
        <x:v>1500</x:v>
      </x:c>
      <x:c r="D7" t="n">
        <x:v>1500</x:v>
      </x:c>
      <x:c r="E7" s="12" t="n">
        <x:v>90000</x:v>
      </x:c>
    </x:row>
    <x:row r="8">
      <x:c r="A8" t="str">
        <x:v>2025-02</x:v>
      </x:c>
      <x:c r="B8" t="str">
        <x:v>P101</x:v>
      </x:c>
      <x:c r="C8" t="n">
        <x:v>1150</x:v>
      </x:c>
      <x:c r="D8" t="n">
        <x:v>1150</x:v>
      </x:c>
      <x:c r="E8" s="12" t="n">
        <x:v>138000</x:v>
      </x:c>
    </x:row>
    <x:row r="9">
      <x:c r="A9" t="str">
        <x:v>2025-02</x:v>
      </x:c>
      <x:c r="B9" t="str">
        <x:v>P102</x:v>
      </x:c>
      <x:c r="C9" t="n">
        <x:v>2100</x:v>
      </x:c>
      <x:c r="D9" t="n">
        <x:v>2100</x:v>
      </x:c>
      <x:c r="E9" s="12" t="n">
        <x:v>115500</x:v>
      </x:c>
    </x:row>
    <x:row r="10">
      <x:c r="A10" t="str">
        <x:v>2025-02</x:v>
      </x:c>
      <x:c r="B10" t="str">
        <x:v>P103</x:v>
      </x:c>
      <x:c r="C10" t="n">
        <x:v>480</x:v>
      </x:c>
      <x:c r="D10" t="n">
        <x:v>480</x:v>
      </x:c>
      <x:c r="E10" s="12" t="n">
        <x:v>216000</x:v>
      </x:c>
    </x:row>
    <x:row r="11">
      <x:c r="A11" t="str">
        <x:v>2025-02</x:v>
      </x:c>
      <x:c r="B11" t="str">
        <x:v>P104</x:v>
      </x:c>
      <x:c r="C11" t="n">
        <x:v>1750</x:v>
      </x:c>
      <x:c r="D11" t="n">
        <x:v>1750</x:v>
      </x:c>
      <x:c r="E11" s="12" t="n">
        <x:v>157500</x:v>
      </x:c>
    </x:row>
    <x:row r="12">
      <x:c r="A12" t="str">
        <x:v>2025-02</x:v>
      </x:c>
      <x:c r="B12" t="str">
        <x:v>P105</x:v>
      </x:c>
      <x:c r="C12" t="n">
        <x:v>3250</x:v>
      </x:c>
      <x:c r="D12" t="n">
        <x:v>3250</x:v>
      </x:c>
      <x:c r="E12" s="12" t="n">
        <x:v>130000</x:v>
      </x:c>
    </x:row>
    <x:row r="13">
      <x:c r="A13" t="str">
        <x:v>2025-02</x:v>
      </x:c>
      <x:c r="B13" t="str">
        <x:v>P106</x:v>
      </x:c>
      <x:c r="C13" t="n">
        <x:v>1450</x:v>
      </x:c>
      <x:c r="D13" t="n">
        <x:v>1450</x:v>
      </x:c>
      <x:c r="E13" s="12" t="n">
        <x:v>87000</x:v>
      </x:c>
    </x:row>
    <x:row r="14">
      <x:c r="A14" t="str">
        <x:v>2025-03</x:v>
      </x:c>
      <x:c r="B14" t="str">
        <x:v>P101</x:v>
      </x:c>
      <x:c r="C14" t="n">
        <x:v>1300</x:v>
      </x:c>
      <x:c r="D14" t="n">
        <x:v>1300</x:v>
      </x:c>
      <x:c r="E14" s="12" t="n">
        <x:v>156000</x:v>
      </x:c>
    </x:row>
    <x:row r="15">
      <x:c r="A15" t="str">
        <x:v>2025-03</x:v>
      </x:c>
      <x:c r="B15" t="str">
        <x:v>P102</x:v>
      </x:c>
      <x:c r="C15" t="n">
        <x:v>2300</x:v>
      </x:c>
      <x:c r="D15" t="n">
        <x:v>2300</x:v>
      </x:c>
      <x:c r="E15" s="12" t="n">
        <x:v>126500</x:v>
      </x:c>
    </x:row>
    <x:row r="16">
      <x:c r="A16" t="str">
        <x:v>2025-03</x:v>
      </x:c>
      <x:c r="B16" t="str">
        <x:v>P103</x:v>
      </x:c>
      <x:c r="C16" t="n">
        <x:v>420</x:v>
      </x:c>
      <x:c r="D16" t="n">
        <x:v>420</x:v>
      </x:c>
      <x:c r="E16" s="12" t="n">
        <x:v>189000</x:v>
      </x:c>
    </x:row>
    <x:row r="17">
      <x:c r="A17" t="str">
        <x:v>2025-03</x:v>
      </x:c>
      <x:c r="B17" t="str">
        <x:v>P104</x:v>
      </x:c>
      <x:c r="C17" t="n">
        <x:v>1900</x:v>
      </x:c>
      <x:c r="D17" t="n">
        <x:v>1900</x:v>
      </x:c>
      <x:c r="E17" s="12" t="n">
        <x:v>171000</x:v>
      </x:c>
    </x:row>
    <x:row r="18">
      <x:c r="A18" t="str">
        <x:v>2025-03</x:v>
      </x:c>
      <x:c r="B18" t="str">
        <x:v>P105</x:v>
      </x:c>
      <x:c r="C18" t="n">
        <x:v>3000</x:v>
      </x:c>
      <x:c r="D18" t="n">
        <x:v>3000</x:v>
      </x:c>
      <x:c r="E18" s="12" t="n">
        <x:v>120000</x:v>
      </x:c>
    </x:row>
    <x:row r="19">
      <x:c r="A19" t="str">
        <x:v>2025-03</x:v>
      </x:c>
      <x:c r="B19" t="str">
        <x:v>P106</x:v>
      </x:c>
      <x:c r="C19" t="n">
        <x:v>1600</x:v>
      </x:c>
      <x:c r="D19" t="n">
        <x:v>1600</x:v>
      </x:c>
      <x:c r="E19" s="12" t="n">
        <x:v>96000</x:v>
      </x:c>
    </x:row>
    <x:row r="20">
      <x:c r="A20" t="str">
        <x:v>2025-04</x:v>
      </x:c>
      <x:c r="B20" t="str">
        <x:v>P101</x:v>
      </x:c>
      <x:c r="C20" t="n">
        <x:v>1400</x:v>
      </x:c>
      <x:c r="D20" t="n">
        <x:v>1400</x:v>
      </x:c>
      <x:c r="E20" s="12" t="n">
        <x:v>168000</x:v>
      </x:c>
    </x:row>
    <x:row r="21">
      <x:c r="A21" t="str">
        <x:v>2025-04</x:v>
      </x:c>
      <x:c r="B21" t="str">
        <x:v>P102</x:v>
      </x:c>
      <x:c r="C21" t="n">
        <x:v>2400</x:v>
      </x:c>
      <x:c r="D21" t="n">
        <x:v>2400</x:v>
      </x:c>
      <x:c r="E21" s="12" t="n">
        <x:v>132000</x:v>
      </x:c>
    </x:row>
    <x:row r="22">
      <x:c r="A22" t="str">
        <x:v>2025-04</x:v>
      </x:c>
      <x:c r="B22" t="str">
        <x:v>P103</x:v>
      </x:c>
      <x:c r="C22" t="n">
        <x:v>500</x:v>
      </x:c>
      <x:c r="D22" t="n">
        <x:v>500</x:v>
      </x:c>
      <x:c r="E22" s="12" t="n">
        <x:v>225000</x:v>
      </x:c>
    </x:row>
    <x:row r="23">
      <x:c r="A23" t="str">
        <x:v>2025-04</x:v>
      </x:c>
      <x:c r="B23" t="str">
        <x:v>P104</x:v>
      </x:c>
      <x:c r="C23" t="n">
        <x:v>2000</x:v>
      </x:c>
      <x:c r="D23" t="n">
        <x:v>2000</x:v>
      </x:c>
      <x:c r="E23" s="12" t="n">
        <x:v>180000</x:v>
      </x:c>
    </x:row>
    <x:row r="24">
      <x:c r="A24" t="str">
        <x:v>2025-04</x:v>
      </x:c>
      <x:c r="B24" t="str">
        <x:v>P105</x:v>
      </x:c>
      <x:c r="C24" t="n">
        <x:v>3400</x:v>
      </x:c>
      <x:c r="D24" t="n">
        <x:v>3400</x:v>
      </x:c>
      <x:c r="E24" s="12" t="n">
        <x:v>136000</x:v>
      </x:c>
    </x:row>
    <x:row r="25">
      <x:c r="A25" t="str">
        <x:v>2025-04</x:v>
      </x:c>
      <x:c r="B25" t="str">
        <x:v>P106</x:v>
      </x:c>
      <x:c r="C25" t="n">
        <x:v>1700</x:v>
      </x:c>
      <x:c r="D25" t="n">
        <x:v>1700</x:v>
      </x:c>
      <x:c r="E25" s="12" t="n">
        <x:v>102000</x:v>
      </x:c>
    </x:row>
    <x:row r="26">
      <x:c r="A26" t="str">
        <x:v>2025-05</x:v>
      </x:c>
      <x:c r="B26" t="str">
        <x:v>P101</x:v>
      </x:c>
      <x:c r="C26" t="n">
        <x:v>1350</x:v>
      </x:c>
      <x:c r="D26" t="n">
        <x:v>1350</x:v>
      </x:c>
      <x:c r="E26" s="12" t="n">
        <x:v>162000</x:v>
      </x:c>
    </x:row>
    <x:row r="27">
      <x:c r="A27" t="str">
        <x:v>2025-05</x:v>
      </x:c>
      <x:c r="B27" t="str">
        <x:v>P102</x:v>
      </x:c>
      <x:c r="C27" t="n">
        <x:v>2350</x:v>
      </x:c>
      <x:c r="D27" t="n">
        <x:v>2350</x:v>
      </x:c>
      <x:c r="E27" s="12" t="n">
        <x:v>129250</x:v>
      </x:c>
    </x:row>
    <x:row r="28">
      <x:c r="A28" t="str">
        <x:v>2025-05</x:v>
      </x:c>
      <x:c r="B28" t="str">
        <x:v>P103</x:v>
      </x:c>
      <x:c r="C28" t="n">
        <x:v>510</x:v>
      </x:c>
      <x:c r="D28" t="n">
        <x:v>510</x:v>
      </x:c>
      <x:c r="E28" s="12" t="n">
        <x:v>229500</x:v>
      </x:c>
    </x:row>
    <x:row r="29">
      <x:c r="A29" t="str">
        <x:v>2025-05</x:v>
      </x:c>
      <x:c r="B29" t="str">
        <x:v>P104</x:v>
      </x:c>
      <x:c r="C29" t="n">
        <x:v>1950</x:v>
      </x:c>
      <x:c r="D29" t="n">
        <x:v>1950</x:v>
      </x:c>
      <x:c r="E29" s="12" t="n">
        <x:v>175500</x:v>
      </x:c>
    </x:row>
    <x:row r="30">
      <x:c r="A30" t="str">
        <x:v>2025-05</x:v>
      </x:c>
      <x:c r="B30" t="str">
        <x:v>P105</x:v>
      </x:c>
      <x:c r="C30" t="n">
        <x:v>3500</x:v>
      </x:c>
      <x:c r="D30" t="n">
        <x:v>3500</x:v>
      </x:c>
      <x:c r="E30" s="12" t="n">
        <x:v>140000</x:v>
      </x:c>
    </x:row>
    <x:row r="31">
      <x:c r="A31" t="str">
        <x:v>2025-05</x:v>
      </x:c>
      <x:c r="B31" t="str">
        <x:v>P106</x:v>
      </x:c>
      <x:c r="C31" t="n">
        <x:v>1650</x:v>
      </x:c>
      <x:c r="D31" t="n">
        <x:v>1650</x:v>
      </x:c>
      <x:c r="E31" s="12" t="n">
        <x:v>99000</x:v>
      </x:c>
    </x:row>
    <x:row r="32">
      <x:c r="A32" t="str">
        <x:v>2025-06</x:v>
      </x:c>
      <x:c r="B32" t="str">
        <x:v>P101</x:v>
      </x:c>
      <x:c r="C32" t="n">
        <x:v>1500</x:v>
      </x:c>
      <x:c r="D32" t="n">
        <x:v>1500</x:v>
      </x:c>
      <x:c r="E32" s="12" t="n">
        <x:v>180000</x:v>
      </x:c>
    </x:row>
    <x:row r="33">
      <x:c r="A33" t="str">
        <x:v>2025-06</x:v>
      </x:c>
      <x:c r="B33" t="str">
        <x:v>P102</x:v>
      </x:c>
      <x:c r="C33" t="n">
        <x:v>2500</x:v>
      </x:c>
      <x:c r="D33" t="n">
        <x:v>2500</x:v>
      </x:c>
      <x:c r="E33" s="12" t="n">
        <x:v>137500</x:v>
      </x:c>
    </x:row>
    <x:row r="34">
      <x:c r="A34" t="str">
        <x:v>2025-06</x:v>
      </x:c>
      <x:c r="B34" t="str">
        <x:v>P103</x:v>
      </x:c>
      <x:c r="C34" t="n">
        <x:v>490</x:v>
      </x:c>
      <x:c r="D34" t="n">
        <x:v>490</x:v>
      </x:c>
      <x:c r="E34" s="12" t="n">
        <x:v>220500</x:v>
      </x:c>
    </x:row>
    <x:row r="35">
      <x:c r="A35" t="str">
        <x:v>2025-06</x:v>
      </x:c>
      <x:c r="B35" t="str">
        <x:v>P104</x:v>
      </x:c>
      <x:c r="C35" t="n">
        <x:v>2100</x:v>
      </x:c>
      <x:c r="D35" t="n">
        <x:v>2100</x:v>
      </x:c>
      <x:c r="E35" s="12" t="n">
        <x:v>189000</x:v>
      </x:c>
    </x:row>
    <x:row r="36">
      <x:c r="A36" t="str">
        <x:v>2025-06</x:v>
      </x:c>
      <x:c r="B36" t="str">
        <x:v>P105</x:v>
      </x:c>
      <x:c r="C36" t="n">
        <x:v>3600</x:v>
      </x:c>
      <x:c r="D36" t="n">
        <x:v>3600</x:v>
      </x:c>
      <x:c r="E36" s="12" t="n">
        <x:v>144000</x:v>
      </x:c>
    </x:row>
    <x:row r="37">
      <x:c r="A37" t="str">
        <x:v>2025-06</x:v>
      </x:c>
      <x:c r="B37" t="str">
        <x:v>P106</x:v>
      </x:c>
      <x:c r="C37" t="n">
        <x:v>1800</x:v>
      </x:c>
      <x:c r="D37" t="n">
        <x:v>1800</x:v>
      </x:c>
      <x:c r="E37" s="12" t="n">
        <x:v>108000</x:v>
      </x:c>
    </x:row>
    <x:row r="38">
      <x:c r="A38" t="str">
        <x:v>2025-07</x:v>
      </x:c>
      <x:c r="B38" t="str">
        <x:v>P101</x:v>
      </x:c>
      <x:c r="C38" t="n">
        <x:v>1600</x:v>
      </x:c>
      <x:c r="D38" t="n">
        <x:v>1600</x:v>
      </x:c>
      <x:c r="E38" s="12" t="n">
        <x:v>192000</x:v>
      </x:c>
    </x:row>
    <x:row r="39">
      <x:c r="A39" t="str">
        <x:v>2025-07</x:v>
      </x:c>
      <x:c r="B39" t="str">
        <x:v>P102</x:v>
      </x:c>
      <x:c r="C39" t="n">
        <x:v>2600</x:v>
      </x:c>
      <x:c r="D39" t="n">
        <x:v>2600</x:v>
      </x:c>
      <x:c r="E39" s="12" t="n">
        <x:v>143000</x:v>
      </x:c>
    </x:row>
    <x:row r="40">
      <x:c r="A40" t="str">
        <x:v>2025-07</x:v>
      </x:c>
      <x:c r="B40" t="str">
        <x:v>P103</x:v>
      </x:c>
      <x:c r="C40" t="n">
        <x:v>530</x:v>
      </x:c>
      <x:c r="D40" t="n">
        <x:v>530</x:v>
      </x:c>
      <x:c r="E40" s="12" t="n">
        <x:v>238500</x:v>
      </x:c>
    </x:row>
    <x:row r="41">
      <x:c r="A41" t="str">
        <x:v>2025-07</x:v>
      </x:c>
      <x:c r="B41" t="str">
        <x:v>P104</x:v>
      </x:c>
      <x:c r="C41" t="n">
        <x:v>2200</x:v>
      </x:c>
      <x:c r="D41" t="n">
        <x:v>2200</x:v>
      </x:c>
      <x:c r="E41" s="12" t="n">
        <x:v>198000</x:v>
      </x:c>
    </x:row>
    <x:row r="42">
      <x:c r="A42" t="str">
        <x:v>2025-07</x:v>
      </x:c>
      <x:c r="B42" t="str">
        <x:v>P105</x:v>
      </x:c>
      <x:c r="C42" t="n">
        <x:v>3800</x:v>
      </x:c>
      <x:c r="D42" t="n">
        <x:v>3800</x:v>
      </x:c>
      <x:c r="E42" s="12" t="n">
        <x:v>152000</x:v>
      </x:c>
    </x:row>
    <x:row r="43">
      <x:c r="A43" t="str">
        <x:v>2025-07</x:v>
      </x:c>
      <x:c r="B43" t="str">
        <x:v>P106</x:v>
      </x:c>
      <x:c r="C43" t="n">
        <x:v>1900</x:v>
      </x:c>
      <x:c r="D43" t="n">
        <x:v>1900</x:v>
      </x:c>
      <x:c r="E43" s="12" t="n">
        <x:v>114000</x:v>
      </x:c>
    </x:row>
    <x:row r="44">
      <x:c r="A44" t="str">
        <x:v>2025-08</x:v>
      </x:c>
      <x:c r="B44" t="str">
        <x:v>P101</x:v>
      </x:c>
      <x:c r="C44" t="n">
        <x:v>1550</x:v>
      </x:c>
      <x:c r="D44" t="n">
        <x:v>1550</x:v>
      </x:c>
      <x:c r="E44" s="12" t="n">
        <x:v>186000</x:v>
      </x:c>
    </x:row>
    <x:row r="45">
      <x:c r="A45" t="str">
        <x:v>2025-08</x:v>
      </x:c>
      <x:c r="B45" t="str">
        <x:v>P102</x:v>
      </x:c>
      <x:c r="C45" t="n">
        <x:v>2550</x:v>
      </x:c>
      <x:c r="D45" t="n">
        <x:v>2550</x:v>
      </x:c>
      <x:c r="E45" s="12" t="n">
        <x:v>140250</x:v>
      </x:c>
    </x:row>
    <x:row r="46">
      <x:c r="A46" t="str">
        <x:v>2025-08</x:v>
      </x:c>
      <x:c r="B46" t="str">
        <x:v>P103</x:v>
      </x:c>
      <x:c r="C46" t="n">
        <x:v>520</x:v>
      </x:c>
      <x:c r="D46" t="n">
        <x:v>520</x:v>
      </x:c>
      <x:c r="E46" s="12" t="n">
        <x:v>234000</x:v>
      </x:c>
    </x:row>
    <x:row r="47">
      <x:c r="A47" t="str">
        <x:v>2025-08</x:v>
      </x:c>
      <x:c r="B47" t="str">
        <x:v>P104</x:v>
      </x:c>
      <x:c r="C47" t="n">
        <x:v>2150</x:v>
      </x:c>
      <x:c r="D47" t="n">
        <x:v>2150</x:v>
      </x:c>
      <x:c r="E47" s="12" t="n">
        <x:v>193500</x:v>
      </x:c>
    </x:row>
    <x:row r="48">
      <x:c r="A48" t="str">
        <x:v>2025-08</x:v>
      </x:c>
      <x:c r="B48" t="str">
        <x:v>P105</x:v>
      </x:c>
      <x:c r="C48" t="n">
        <x:v>3700</x:v>
      </x:c>
      <x:c r="D48" t="n">
        <x:v>3700</x:v>
      </x:c>
      <x:c r="E48" s="12" t="n">
        <x:v>148000</x:v>
      </x:c>
    </x:row>
    <x:row r="49">
      <x:c r="A49" t="str">
        <x:v>2025-08</x:v>
      </x:c>
      <x:c r="B49" t="str">
        <x:v>P106</x:v>
      </x:c>
      <x:c r="C49" t="n">
        <x:v>1850</x:v>
      </x:c>
      <x:c r="D49" t="n">
        <x:v>1850</x:v>
      </x:c>
      <x:c r="E49" s="12" t="n">
        <x:v>111000</x:v>
      </x:c>
    </x:row>
    <x:row r="50">
      <x:c r="A50" t="str">
        <x:v>2025-09</x:v>
      </x:c>
      <x:c r="B50" t="str">
        <x:v>P101</x:v>
      </x:c>
      <x:c r="C50" t="n">
        <x:v>1450</x:v>
      </x:c>
      <x:c r="D50" t="n">
        <x:v>1450</x:v>
      </x:c>
      <x:c r="E50" s="12" t="n">
        <x:v>174000</x:v>
      </x:c>
    </x:row>
    <x:row r="51">
      <x:c r="A51" t="str">
        <x:v>2025-09</x:v>
      </x:c>
      <x:c r="B51" t="str">
        <x:v>P102</x:v>
      </x:c>
      <x:c r="C51" t="n">
        <x:v>2450</x:v>
      </x:c>
      <x:c r="D51" t="n">
        <x:v>2450</x:v>
      </x:c>
      <x:c r="E51" s="12" t="n">
        <x:v>134750</x:v>
      </x:c>
    </x:row>
    <x:row r="52">
      <x:c r="A52" t="str">
        <x:v>2025-09</x:v>
      </x:c>
      <x:c r="B52" t="str">
        <x:v>P103</x:v>
      </x:c>
      <x:c r="C52" t="n">
        <x:v>470</x:v>
      </x:c>
      <x:c r="D52" t="n">
        <x:v>470</x:v>
      </x:c>
      <x:c r="E52" s="12" t="n">
        <x:v>211500</x:v>
      </x:c>
    </x:row>
    <x:row r="53">
      <x:c r="A53" t="str">
        <x:v>2025-09</x:v>
      </x:c>
      <x:c r="B53" t="str">
        <x:v>P104</x:v>
      </x:c>
      <x:c r="C53" t="n">
        <x:v>2050</x:v>
      </x:c>
      <x:c r="D53" t="n">
        <x:v>2050</x:v>
      </x:c>
      <x:c r="E53" s="12" t="n">
        <x:v>184500</x:v>
      </x:c>
    </x:row>
    <x:row r="54">
      <x:c r="A54" t="str">
        <x:v>2025-09</x:v>
      </x:c>
      <x:c r="B54" t="str">
        <x:v>P105</x:v>
      </x:c>
      <x:c r="C54" t="n">
        <x:v>3550</x:v>
      </x:c>
      <x:c r="D54" t="n">
        <x:v>3550</x:v>
      </x:c>
      <x:c r="E54" s="12" t="n">
        <x:v>142000</x:v>
      </x:c>
    </x:row>
    <x:row r="55">
      <x:c r="A55" t="str">
        <x:v>2025-09</x:v>
      </x:c>
      <x:c r="B55" t="str">
        <x:v>P106</x:v>
      </x:c>
      <x:c r="C55" t="n">
        <x:v>1750</x:v>
      </x:c>
      <x:c r="D55" t="n">
        <x:v>1750</x:v>
      </x:c>
      <x:c r="E55" s="12" t="n">
        <x:v>105000</x:v>
      </x:c>
    </x:row>
    <x:row r="56">
      <x:c r="A56" t="str">
        <x:v>2025-10</x:v>
      </x:c>
      <x:c r="B56" t="str">
        <x:v>P101</x:v>
      </x:c>
      <x:c r="C56" t="n">
        <x:v>1650</x:v>
      </x:c>
      <x:c r="D56" t="n">
        <x:v>1650</x:v>
      </x:c>
      <x:c r="E56" s="12" t="n">
        <x:v>198000</x:v>
      </x:c>
    </x:row>
    <x:row r="57">
      <x:c r="A57" t="str">
        <x:v>2025-10</x:v>
      </x:c>
      <x:c r="B57" t="str">
        <x:v>P102</x:v>
      </x:c>
      <x:c r="C57" t="n">
        <x:v>2700</x:v>
      </x:c>
      <x:c r="D57" t="n">
        <x:v>2700</x:v>
      </x:c>
      <x:c r="E57" s="12" t="n">
        <x:v>148500</x:v>
      </x:c>
    </x:row>
    <x:row r="58">
      <x:c r="A58" t="str">
        <x:v>2025-10</x:v>
      </x:c>
      <x:c r="B58" t="str">
        <x:v>P103</x:v>
      </x:c>
      <x:c r="C58" t="n">
        <x:v>550</x:v>
      </x:c>
      <x:c r="D58" t="n">
        <x:v>550</x:v>
      </x:c>
      <x:c r="E58" s="12" t="n">
        <x:v>247500</x:v>
      </x:c>
    </x:row>
    <x:row r="59">
      <x:c r="A59" t="str">
        <x:v>2025-10</x:v>
      </x:c>
      <x:c r="B59" t="str">
        <x:v>P104</x:v>
      </x:c>
      <x:c r="C59" t="n">
        <x:v>2250</x:v>
      </x:c>
      <x:c r="D59" t="n">
        <x:v>2250</x:v>
      </x:c>
      <x:c r="E59" s="12" t="n">
        <x:v>202500</x:v>
      </x:c>
    </x:row>
    <x:row r="60">
      <x:c r="A60" t="str">
        <x:v>2025-10</x:v>
      </x:c>
      <x:c r="B60" t="str">
        <x:v>P105</x:v>
      </x:c>
      <x:c r="C60" t="n">
        <x:v>3900</x:v>
      </x:c>
      <x:c r="D60" t="n">
        <x:v>3900</x:v>
      </x:c>
      <x:c r="E60" s="12" t="n">
        <x:v>156000</x:v>
      </x:c>
    </x:row>
    <x:row r="61">
      <x:c r="A61" t="str">
        <x:v>2025-10</x:v>
      </x:c>
      <x:c r="B61" t="str">
        <x:v>P106</x:v>
      </x:c>
      <x:c r="C61" t="n">
        <x:v>1950</x:v>
      </x:c>
      <x:c r="D61" t="n">
        <x:v>1950</x:v>
      </x:c>
      <x:c r="E61" s="12" t="n">
        <x:v>117000</x:v>
      </x:c>
    </x:row>
    <x:row r="62">
      <x:c r="A62" t="str">
        <x:v>2025-11</x:v>
      </x:c>
      <x:c r="B62" t="str">
        <x:v>P101</x:v>
      </x:c>
      <x:c r="C62" t="n">
        <x:v>1800</x:v>
      </x:c>
      <x:c r="D62" t="n">
        <x:v>1800</x:v>
      </x:c>
      <x:c r="E62" s="12" t="n">
        <x:v>216000</x:v>
      </x:c>
    </x:row>
    <x:row r="63">
      <x:c r="A63" t="str">
        <x:v>2025-11</x:v>
      </x:c>
      <x:c r="B63" t="str">
        <x:v>P102</x:v>
      </x:c>
      <x:c r="C63" t="n">
        <x:v>2900</x:v>
      </x:c>
      <x:c r="D63" t="n">
        <x:v>2900</x:v>
      </x:c>
      <x:c r="E63" s="12" t="n">
        <x:v>159500</x:v>
      </x:c>
    </x:row>
    <x:row r="64">
      <x:c r="A64" t="str">
        <x:v>2025-11</x:v>
      </x:c>
      <x:c r="B64" t="str">
        <x:v>P103</x:v>
      </x:c>
      <x:c r="C64" t="n">
        <x:v>580</x:v>
      </x:c>
      <x:c r="D64" t="n">
        <x:v>580</x:v>
      </x:c>
      <x:c r="E64" s="12" t="n">
        <x:v>261000</x:v>
      </x:c>
    </x:row>
    <x:row r="65">
      <x:c r="A65" t="str">
        <x:v>2025-11</x:v>
      </x:c>
      <x:c r="B65" t="str">
        <x:v>P104</x:v>
      </x:c>
      <x:c r="C65" t="n">
        <x:v>2400</x:v>
      </x:c>
      <x:c r="D65" t="n">
        <x:v>2400</x:v>
      </x:c>
      <x:c r="E65" s="12" t="n">
        <x:v>216000</x:v>
      </x:c>
    </x:row>
    <x:row r="66">
      <x:c r="A66" t="str">
        <x:v>2025-11</x:v>
      </x:c>
      <x:c r="B66" t="str">
        <x:v>P105</x:v>
      </x:c>
      <x:c r="C66" t="n">
        <x:v>4200</x:v>
      </x:c>
      <x:c r="D66" t="n">
        <x:v>4200</x:v>
      </x:c>
      <x:c r="E66" s="12" t="n">
        <x:v>168000</x:v>
      </x:c>
    </x:row>
    <x:row r="67">
      <x:c r="A67" t="str">
        <x:v>2025-11</x:v>
      </x:c>
      <x:c r="B67" t="str">
        <x:v>P106</x:v>
      </x:c>
      <x:c r="C67" t="n">
        <x:v>2100</x:v>
      </x:c>
      <x:c r="D67" t="n">
        <x:v>2100</x:v>
      </x:c>
      <x:c r="E67" s="12" t="n">
        <x:v>126000</x:v>
      </x:c>
    </x:row>
    <x:row r="68">
      <x:c r="A68" t="str">
        <x:v>2025-12</x:v>
      </x:c>
      <x:c r="B68" t="str">
        <x:v>P101</x:v>
      </x:c>
      <x:c r="C68" t="n">
        <x:v>2000</x:v>
      </x:c>
      <x:c r="D68" t="n">
        <x:v>2000</x:v>
      </x:c>
      <x:c r="E68" s="12" t="n">
        <x:v>240000</x:v>
      </x:c>
    </x:row>
    <x:row r="69">
      <x:c r="A69" t="str">
        <x:v>2025-12</x:v>
      </x:c>
      <x:c r="B69" t="str">
        <x:v>P102</x:v>
      </x:c>
      <x:c r="C69" t="n">
        <x:v>3100</x:v>
      </x:c>
      <x:c r="D69" t="n">
        <x:v>3100</x:v>
      </x:c>
      <x:c r="E69" s="12" t="n">
        <x:v>170500</x:v>
      </x:c>
    </x:row>
    <x:row r="70">
      <x:c r="A70" t="str">
        <x:v>2025-12</x:v>
      </x:c>
      <x:c r="B70" t="str">
        <x:v>P103</x:v>
      </x:c>
      <x:c r="C70" t="n">
        <x:v>600</x:v>
      </x:c>
      <x:c r="D70" t="n">
        <x:v>600</x:v>
      </x:c>
      <x:c r="E70" s="12" t="n">
        <x:v>270000</x:v>
      </x:c>
    </x:row>
    <x:row r="71">
      <x:c r="A71" t="str">
        <x:v>2025-12</x:v>
      </x:c>
      <x:c r="B71" t="str">
        <x:v>P104</x:v>
      </x:c>
      <x:c r="C71" t="n">
        <x:v>2600</x:v>
      </x:c>
      <x:c r="D71" t="n">
        <x:v>2600</x:v>
      </x:c>
      <x:c r="E71" s="12" t="n">
        <x:v>234000</x:v>
      </x:c>
    </x:row>
    <x:row r="72">
      <x:c r="A72" t="str">
        <x:v>2025-12</x:v>
      </x:c>
      <x:c r="B72" t="str">
        <x:v>P105</x:v>
      </x:c>
      <x:c r="C72" t="n">
        <x:v>4500</x:v>
      </x:c>
      <x:c r="D72" t="n">
        <x:v>4500</x:v>
      </x:c>
      <x:c r="E72" s="12" t="n">
        <x:v>180000</x:v>
      </x:c>
    </x:row>
    <x:row r="73">
      <x:c r="A73" t="str">
        <x:v>2025-12</x:v>
      </x:c>
      <x:c r="B73" t="str">
        <x:v>P106</x:v>
      </x:c>
      <x:c r="C73" t="n">
        <x:v>2300</x:v>
      </x:c>
      <x:c r="D73" t="n">
        <x:v>2300</x:v>
      </x:c>
      <x:c r="E73" s="12" t="n">
        <x:v>138000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9" hidden="0" customWidth="1"/>
    <x:col min="5" max="5" width="16" hidden="0" customWidth="1"/>
    <x:col min="6" max="6" width="17" hidden="0" customWidth="1"/>
  </x:cols>
  <x:sheetData>
    <x:row r="1">
      <x:c r="A1" s="5" t="str">
        <x:v>Month</x:v>
      </x:c>
      <x:c r="B1" s="5" t="str">
        <x:v>Product_ID</x:v>
      </x:c>
      <x:c r="C1" s="5" t="str">
        <x:v>Planned_Production</x:v>
      </x:c>
      <x:c r="D1" s="5" t="str">
        <x:v>Actual_Production</x:v>
      </x:c>
      <x:c r="E1" s="5" t="str">
        <x:v>Rejected_Units</x:v>
      </x:c>
      <x:c r="F1" s="5" t="str">
        <x:v>Production_Cost</x:v>
      </x:c>
    </x:row>
    <x:row r="2">
      <x:c r="A2" t="str">
        <x:v>2025-01</x:v>
      </x:c>
      <x:c r="B2" t="str">
        <x:v>P101</x:v>
      </x:c>
      <x:c r="C2" t="n">
        <x:v>1250</x:v>
      </x:c>
      <x:c r="D2" t="n">
        <x:v>1220</x:v>
      </x:c>
      <x:c r="E2" t="n">
        <x:v>24</x:v>
      </x:c>
      <x:c r="F2" s="12" t="n">
        <x:v>79300</x:v>
      </x:c>
    </x:row>
    <x:row r="3">
      <x:c r="A3" t="str">
        <x:v>2025-01</x:v>
      </x:c>
      <x:c r="B3" t="str">
        <x:v>P102</x:v>
      </x:c>
      <x:c r="C3" t="n">
        <x:v>2300</x:v>
      </x:c>
      <x:c r="D3" t="n">
        <x:v>2250</x:v>
      </x:c>
      <x:c r="E3" t="n">
        <x:v>45</x:v>
      </x:c>
      <x:c r="F3" s="12" t="n">
        <x:v>67500</x:v>
      </x:c>
    </x:row>
    <x:row r="4">
      <x:c r="A4" t="str">
        <x:v>2025-01</x:v>
      </x:c>
      <x:c r="B4" t="str">
        <x:v>P103</x:v>
      </x:c>
      <x:c r="C4" t="n">
        <x:v>500</x:v>
      </x:c>
      <x:c r="D4" t="n">
        <x:v>460</x:v>
      </x:c>
      <x:c r="E4" t="n">
        <x:v>28</x:v>
      </x:c>
      <x:c r="F4" s="12" t="n">
        <x:v>96600</x:v>
      </x:c>
    </x:row>
    <x:row r="5">
      <x:c r="A5" t="str">
        <x:v>2025-01</x:v>
      </x:c>
      <x:c r="B5" t="str">
        <x:v>P104</x:v>
      </x:c>
      <x:c r="C5" t="n">
        <x:v>1850</x:v>
      </x:c>
      <x:c r="D5" t="n">
        <x:v>1810</x:v>
      </x:c>
      <x:c r="E5" t="n">
        <x:v>36</x:v>
      </x:c>
      <x:c r="F5" s="12" t="n">
        <x:v>81450</x:v>
      </x:c>
    </x:row>
    <x:row r="6">
      <x:c r="A6" t="str">
        <x:v>2025-01</x:v>
      </x:c>
      <x:c r="B6" t="str">
        <x:v>P105</x:v>
      </x:c>
      <x:c r="C6" t="n">
        <x:v>3200</x:v>
      </x:c>
      <x:c r="D6" t="n">
        <x:v>3150</x:v>
      </x:c>
      <x:c r="E6" t="n">
        <x:v>31</x:v>
      </x:c>
      <x:c r="F6" s="12" t="n">
        <x:v>56700</x:v>
      </x:c>
    </x:row>
    <x:row r="7">
      <x:c r="A7" t="str">
        <x:v>2025-01</x:v>
      </x:c>
      <x:c r="B7" t="str">
        <x:v>P106</x:v>
      </x:c>
      <x:c r="C7" t="n">
        <x:v>1600</x:v>
      </x:c>
      <x:c r="D7" t="n">
        <x:v>1550</x:v>
      </x:c>
      <x:c r="E7" t="n">
        <x:v>23</x:v>
      </x:c>
      <x:c r="F7" s="12" t="n">
        <x:v>38750</x:v>
      </x:c>
    </x:row>
    <x:row r="8">
      <x:c r="A8" t="str">
        <x:v>2025-02</x:v>
      </x:c>
      <x:c r="B8" t="str">
        <x:v>P101</x:v>
      </x:c>
      <x:c r="C8" t="n">
        <x:v>1200</x:v>
      </x:c>
      <x:c r="D8" t="n">
        <x:v>1180</x:v>
      </x:c>
      <x:c r="E8" t="n">
        <x:v>21</x:v>
      </x:c>
      <x:c r="F8" s="12" t="n">
        <x:v>76700</x:v>
      </x:c>
    </x:row>
    <x:row r="9">
      <x:c r="A9" t="str">
        <x:v>2025-02</x:v>
      </x:c>
      <x:c r="B9" t="str">
        <x:v>P102</x:v>
      </x:c>
      <x:c r="C9" t="n">
        <x:v>2200</x:v>
      </x:c>
      <x:c r="D9" t="n">
        <x:v>2150</x:v>
      </x:c>
      <x:c r="E9" t="n">
        <x:v>43</x:v>
      </x:c>
      <x:c r="F9" s="12" t="n">
        <x:v>64500</x:v>
      </x:c>
    </x:row>
    <x:row r="10">
      <x:c r="A10" t="str">
        <x:v>2025-02</x:v>
      </x:c>
      <x:c r="B10" t="str">
        <x:v>P103</x:v>
      </x:c>
      <x:c r="C10" t="n">
        <x:v>500</x:v>
      </x:c>
      <x:c r="D10" t="n">
        <x:v>470</x:v>
      </x:c>
      <x:c r="E10" t="n">
        <x:v>30</x:v>
      </x:c>
      <x:c r="F10" s="12" t="n">
        <x:v>98700</x:v>
      </x:c>
    </x:row>
    <x:row r="11">
      <x:c r="A11" t="str">
        <x:v>2025-02</x:v>
      </x:c>
      <x:c r="B11" t="str">
        <x:v>P104</x:v>
      </x:c>
      <x:c r="C11" t="n">
        <x:v>1800</x:v>
      </x:c>
      <x:c r="D11" t="n">
        <x:v>1780</x:v>
      </x:c>
      <x:c r="E11" t="n">
        <x:v>32</x:v>
      </x:c>
      <x:c r="F11" s="12" t="n">
        <x:v>80100</x:v>
      </x:c>
    </x:row>
    <x:row r="12">
      <x:c r="A12" t="str">
        <x:v>2025-02</x:v>
      </x:c>
      <x:c r="B12" t="str">
        <x:v>P105</x:v>
      </x:c>
      <x:c r="C12" t="n">
        <x:v>3300</x:v>
      </x:c>
      <x:c r="D12" t="n">
        <x:v>3280</x:v>
      </x:c>
      <x:c r="E12" t="n">
        <x:v>33</x:v>
      </x:c>
      <x:c r="F12" s="12" t="n">
        <x:v>59040</x:v>
      </x:c>
    </x:row>
    <x:row r="13">
      <x:c r="A13" t="str">
        <x:v>2025-02</x:v>
      </x:c>
      <x:c r="B13" t="str">
        <x:v>P106</x:v>
      </x:c>
      <x:c r="C13" t="n">
        <x:v>1500</x:v>
      </x:c>
      <x:c r="D13" t="n">
        <x:v>1480</x:v>
      </x:c>
      <x:c r="E13" t="n">
        <x:v>22</x:v>
      </x:c>
      <x:c r="F13" s="12" t="n">
        <x:v>37000</x:v>
      </x:c>
    </x:row>
    <x:row r="14">
      <x:c r="A14" t="str">
        <x:v>2025-03</x:v>
      </x:c>
      <x:c r="B14" t="str">
        <x:v>P101</x:v>
      </x:c>
      <x:c r="C14" t="n">
        <x:v>1300</x:v>
      </x:c>
      <x:c r="D14" t="n">
        <x:v>1290</x:v>
      </x:c>
      <x:c r="E14" t="n">
        <x:v>23</x:v>
      </x:c>
      <x:c r="F14" s="12" t="n">
        <x:v>83850</x:v>
      </x:c>
    </x:row>
    <x:row r="15">
      <x:c r="A15" t="str">
        <x:v>2025-03</x:v>
      </x:c>
      <x:c r="B15" t="str">
        <x:v>P102</x:v>
      </x:c>
      <x:c r="C15" t="n">
        <x:v>2350</x:v>
      </x:c>
      <x:c r="D15" t="n">
        <x:v>2310</x:v>
      </x:c>
      <x:c r="E15" t="n">
        <x:v>42</x:v>
      </x:c>
      <x:c r="F15" s="12" t="n">
        <x:v>69300</x:v>
      </x:c>
    </x:row>
    <x:row r="16">
      <x:c r="A16" t="str">
        <x:v>2025-03</x:v>
      </x:c>
      <x:c r="B16" t="str">
        <x:v>P103</x:v>
      </x:c>
      <x:c r="C16" t="n">
        <x:v>450</x:v>
      </x:c>
      <x:c r="D16" t="n">
        <x:v>430</x:v>
      </x:c>
      <x:c r="E16" t="n">
        <x:v>26</x:v>
      </x:c>
      <x:c r="F16" s="12" t="n">
        <x:v>90300</x:v>
      </x:c>
    </x:row>
    <x:row r="17">
      <x:c r="A17" t="str">
        <x:v>2025-03</x:v>
      </x:c>
      <x:c r="B17" t="str">
        <x:v>P104</x:v>
      </x:c>
      <x:c r="C17" t="n">
        <x:v>1900</x:v>
      </x:c>
      <x:c r="D17" t="n">
        <x:v>1880</x:v>
      </x:c>
      <x:c r="E17" t="n">
        <x:v>35</x:v>
      </x:c>
      <x:c r="F17" s="12" t="n">
        <x:v>84600</x:v>
      </x:c>
    </x:row>
    <x:row r="18">
      <x:c r="A18" t="str">
        <x:v>2025-03</x:v>
      </x:c>
      <x:c r="B18" t="str">
        <x:v>P105</x:v>
      </x:c>
      <x:c r="C18" t="n">
        <x:v>3100</x:v>
      </x:c>
      <x:c r="D18" t="n">
        <x:v>3050</x:v>
      </x:c>
      <x:c r="E18" t="n">
        <x:v>30</x:v>
      </x:c>
      <x:c r="F18" s="12" t="n">
        <x:v>54900</x:v>
      </x:c>
    </x:row>
    <x:row r="19">
      <x:c r="A19" t="str">
        <x:v>2025-03</x:v>
      </x:c>
      <x:c r="B19" t="str">
        <x:v>P106</x:v>
      </x:c>
      <x:c r="C19" t="n">
        <x:v>1650</x:v>
      </x:c>
      <x:c r="D19" t="n">
        <x:v>1620</x:v>
      </x:c>
      <x:c r="E19" t="n">
        <x:v>24</x:v>
      </x:c>
      <x:c r="F19" s="12" t="n">
        <x:v>40500</x:v>
      </x:c>
    </x:row>
    <x:row r="20">
      <x:c r="A20" t="str">
        <x:v>2025-04</x:v>
      </x:c>
      <x:c r="B20" t="str">
        <x:v>P101</x:v>
      </x:c>
      <x:c r="C20" t="n">
        <x:v>1400</x:v>
      </x:c>
      <x:c r="D20" t="n">
        <x:v>1380</x:v>
      </x:c>
      <x:c r="E20" t="n">
        <x:v>25</x:v>
      </x:c>
      <x:c r="F20" s="12" t="n">
        <x:v>89700</x:v>
      </x:c>
    </x:row>
    <x:row r="21">
      <x:c r="A21" t="str">
        <x:v>2025-04</x:v>
      </x:c>
      <x:c r="B21" t="str">
        <x:v>P102</x:v>
      </x:c>
      <x:c r="C21" t="n">
        <x:v>2450</x:v>
      </x:c>
      <x:c r="D21" t="n">
        <x:v>2400</x:v>
      </x:c>
      <x:c r="E21" t="n">
        <x:v>48</x:v>
      </x:c>
      <x:c r="F21" s="12" t="n">
        <x:v>72000</x:v>
      </x:c>
    </x:row>
    <x:row r="22">
      <x:c r="A22" t="str">
        <x:v>2025-04</x:v>
      </x:c>
      <x:c r="B22" t="str">
        <x:v>P103</x:v>
      </x:c>
      <x:c r="C22" t="n">
        <x:v>500</x:v>
      </x:c>
      <x:c r="D22" t="n">
        <x:v>480</x:v>
      </x:c>
      <x:c r="E22" t="n">
        <x:v>31</x:v>
      </x:c>
      <x:c r="F22" s="12" t="n">
        <x:v>100800</x:v>
      </x:c>
    </x:row>
    <x:row r="23">
      <x:c r="A23" t="str">
        <x:v>2025-04</x:v>
      </x:c>
      <x:c r="B23" t="str">
        <x:v>P104</x:v>
      </x:c>
      <x:c r="C23" t="n">
        <x:v>2000</x:v>
      </x:c>
      <x:c r="D23" t="n">
        <x:v>1970</x:v>
      </x:c>
      <x:c r="E23" t="n">
        <x:v>38</x:v>
      </x:c>
      <x:c r="F23" s="12" t="n">
        <x:v>88650</x:v>
      </x:c>
    </x:row>
    <x:row r="24">
      <x:c r="A24" t="str">
        <x:v>2025-04</x:v>
      </x:c>
      <x:c r="B24" t="str">
        <x:v>P105</x:v>
      </x:c>
      <x:c r="C24" t="n">
        <x:v>3400</x:v>
      </x:c>
      <x:c r="D24" t="n">
        <x:v>3350</x:v>
      </x:c>
      <x:c r="E24" t="n">
        <x:v>34</x:v>
      </x:c>
      <x:c r="F24" s="12" t="n">
        <x:v>60300</x:v>
      </x:c>
    </x:row>
    <x:row r="25">
      <x:c r="A25" t="str">
        <x:v>2025-04</x:v>
      </x:c>
      <x:c r="B25" t="str">
        <x:v>P106</x:v>
      </x:c>
      <x:c r="C25" t="n">
        <x:v>1700</x:v>
      </x:c>
      <x:c r="D25" t="n">
        <x:v>1680</x:v>
      </x:c>
      <x:c r="E25" t="n">
        <x:v>25</x:v>
      </x:c>
      <x:c r="F25" s="12" t="n">
        <x:v>42000</x:v>
      </x:c>
    </x:row>
    <x:row r="26">
      <x:c r="A26" t="str">
        <x:v>2025-05</x:v>
      </x:c>
      <x:c r="B26" t="str">
        <x:v>P101</x:v>
      </x:c>
      <x:c r="C26" t="n">
        <x:v>1350</x:v>
      </x:c>
      <x:c r="D26" t="n">
        <x:v>1340</x:v>
      </x:c>
      <x:c r="E26" t="n">
        <x:v>22</x:v>
      </x:c>
      <x:c r="F26" s="12" t="n">
        <x:v>87100</x:v>
      </x:c>
    </x:row>
    <x:row r="27">
      <x:c r="A27" t="str">
        <x:v>2025-05</x:v>
      </x:c>
      <x:c r="B27" t="str">
        <x:v>P102</x:v>
      </x:c>
      <x:c r="C27" t="n">
        <x:v>2400</x:v>
      </x:c>
      <x:c r="D27" t="n">
        <x:v>2380</x:v>
      </x:c>
      <x:c r="E27" t="n">
        <x:v>46</x:v>
      </x:c>
      <x:c r="F27" s="12" t="n">
        <x:v>71400</x:v>
      </x:c>
    </x:row>
    <x:row r="28">
      <x:c r="A28" t="str">
        <x:v>2025-05</x:v>
      </x:c>
      <x:c r="B28" t="str">
        <x:v>P103</x:v>
      </x:c>
      <x:c r="C28" t="n">
        <x:v>500</x:v>
      </x:c>
      <x:c r="D28" t="n">
        <x:v>490</x:v>
      </x:c>
      <x:c r="E28" t="n">
        <x:v>32</x:v>
      </x:c>
      <x:c r="F28" s="12" t="n">
        <x:v>102900</x:v>
      </x:c>
    </x:row>
    <x:row r="29">
      <x:c r="A29" t="str">
        <x:v>2025-05</x:v>
      </x:c>
      <x:c r="B29" t="str">
        <x:v>P104</x:v>
      </x:c>
      <x:c r="C29" t="n">
        <x:v>1950</x:v>
      </x:c>
      <x:c r="D29" t="n">
        <x:v>1920</x:v>
      </x:c>
      <x:c r="E29" t="n">
        <x:v>36</x:v>
      </x:c>
      <x:c r="F29" s="12" t="n">
        <x:v>86400</x:v>
      </x:c>
    </x:row>
    <x:row r="30">
      <x:c r="A30" t="str">
        <x:v>2025-05</x:v>
      </x:c>
      <x:c r="B30" t="str">
        <x:v>P105</x:v>
      </x:c>
      <x:c r="C30" t="n">
        <x:v>3500</x:v>
      </x:c>
      <x:c r="D30" t="n">
        <x:v>3480</x:v>
      </x:c>
      <x:c r="E30" t="n">
        <x:v>35</x:v>
      </x:c>
      <x:c r="F30" s="12" t="n">
        <x:v>62640</x:v>
      </x:c>
    </x:row>
    <x:row r="31">
      <x:c r="A31" t="str">
        <x:v>2025-05</x:v>
      </x:c>
      <x:c r="B31" t="str">
        <x:v>P106</x:v>
      </x:c>
      <x:c r="C31" t="n">
        <x:v>1650</x:v>
      </x:c>
      <x:c r="D31" t="n">
        <x:v>1630</x:v>
      </x:c>
      <x:c r="E31" t="n">
        <x:v>24</x:v>
      </x:c>
      <x:c r="F31" s="12" t="n">
        <x:v>40750</x:v>
      </x:c>
    </x:row>
    <x:row r="32">
      <x:c r="A32" t="str">
        <x:v>2025-06</x:v>
      </x:c>
      <x:c r="B32" t="str">
        <x:v>P101</x:v>
      </x:c>
      <x:c r="C32" t="n">
        <x:v>1500</x:v>
      </x:c>
      <x:c r="D32" t="n">
        <x:v>1460</x:v>
      </x:c>
      <x:c r="E32" t="n">
        <x:v>26</x:v>
      </x:c>
      <x:c r="F32" s="12" t="n">
        <x:v>94900</x:v>
      </x:c>
    </x:row>
    <x:row r="33">
      <x:c r="A33" t="str">
        <x:v>2025-06</x:v>
      </x:c>
      <x:c r="B33" t="str">
        <x:v>P102</x:v>
      </x:c>
      <x:c r="C33" t="n">
        <x:v>2500</x:v>
      </x:c>
      <x:c r="D33" t="n">
        <x:v>2450</x:v>
      </x:c>
      <x:c r="E33" t="n">
        <x:v>49</x:v>
      </x:c>
      <x:c r="F33" s="12" t="n">
        <x:v>73500</x:v>
      </x:c>
    </x:row>
    <x:row r="34">
      <x:c r="A34" t="str">
        <x:v>2025-06</x:v>
      </x:c>
      <x:c r="B34" t="str">
        <x:v>P103</x:v>
      </x:c>
      <x:c r="C34" t="n">
        <x:v>500</x:v>
      </x:c>
      <x:c r="D34" t="n">
        <x:v>470</x:v>
      </x:c>
      <x:c r="E34" t="n">
        <x:v>30</x:v>
      </x:c>
      <x:c r="F34" s="12" t="n">
        <x:v>98700</x:v>
      </x:c>
    </x:row>
    <x:row r="35">
      <x:c r="A35" t="str">
        <x:v>2025-06</x:v>
      </x:c>
      <x:c r="B35" t="str">
        <x:v>P104</x:v>
      </x:c>
      <x:c r="C35" t="n">
        <x:v>2100</x:v>
      </x:c>
      <x:c r="D35" t="n">
        <x:v>2050</x:v>
      </x:c>
      <x:c r="E35" t="n">
        <x:v>40</x:v>
      </x:c>
      <x:c r="F35" s="12" t="n">
        <x:v>92250</x:v>
      </x:c>
    </x:row>
    <x:row r="36">
      <x:c r="A36" t="str">
        <x:v>2025-06</x:v>
      </x:c>
      <x:c r="B36" t="str">
        <x:v>P105</x:v>
      </x:c>
      <x:c r="C36" t="n">
        <x:v>3600</x:v>
      </x:c>
      <x:c r="D36" t="n">
        <x:v>3550</x:v>
      </x:c>
      <x:c r="E36" t="n">
        <x:v>36</x:v>
      </x:c>
      <x:c r="F36" s="12" t="n">
        <x:v>63900</x:v>
      </x:c>
    </x:row>
    <x:row r="37">
      <x:c r="A37" t="str">
        <x:v>2025-06</x:v>
      </x:c>
      <x:c r="B37" t="str">
        <x:v>P106</x:v>
      </x:c>
      <x:c r="C37" t="n">
        <x:v>1800</x:v>
      </x:c>
      <x:c r="D37" t="n">
        <x:v>1760</x:v>
      </x:c>
      <x:c r="E37" t="n">
        <x:v>26</x:v>
      </x:c>
      <x:c r="F37" s="12" t="n">
        <x:v>44000</x:v>
      </x:c>
    </x:row>
    <x:row r="38">
      <x:c r="A38" t="str">
        <x:v>2025-07</x:v>
      </x:c>
      <x:c r="B38" t="str">
        <x:v>P101</x:v>
      </x:c>
      <x:c r="C38" t="n">
        <x:v>1550</x:v>
      </x:c>
      <x:c r="D38" t="n">
        <x:v>1520</x:v>
      </x:c>
      <x:c r="E38" t="n">
        <x:v>27</x:v>
      </x:c>
      <x:c r="F38" s="12" t="n">
        <x:v>98800</x:v>
      </x:c>
    </x:row>
    <x:row r="39">
      <x:c r="A39" t="str">
        <x:v>2025-07</x:v>
      </x:c>
      <x:c r="B39" t="str">
        <x:v>P102</x:v>
      </x:c>
      <x:c r="C39" t="n">
        <x:v>2550</x:v>
      </x:c>
      <x:c r="D39" t="n">
        <x:v>2500</x:v>
      </x:c>
      <x:c r="E39" t="n">
        <x:v>50</x:v>
      </x:c>
      <x:c r="F39" s="12" t="n">
        <x:v>75000</x:v>
      </x:c>
    </x:row>
    <x:row r="40">
      <x:c r="A40" t="str">
        <x:v>2025-07</x:v>
      </x:c>
      <x:c r="B40" t="str">
        <x:v>P103</x:v>
      </x:c>
      <x:c r="C40" t="n">
        <x:v>500</x:v>
      </x:c>
      <x:c r="D40" t="n">
        <x:v>480</x:v>
      </x:c>
      <x:c r="E40" t="n">
        <x:v>33</x:v>
      </x:c>
      <x:c r="F40" s="12" t="n">
        <x:v>100800</x:v>
      </x:c>
    </x:row>
    <x:row r="41">
      <x:c r="A41" t="str">
        <x:v>2025-07</x:v>
      </x:c>
      <x:c r="B41" t="str">
        <x:v>P104</x:v>
      </x:c>
      <x:c r="C41" t="n">
        <x:v>2150</x:v>
      </x:c>
      <x:c r="D41" t="n">
        <x:v>2100</x:v>
      </x:c>
      <x:c r="E41" t="n">
        <x:v>41</x:v>
      </x:c>
      <x:c r="F41" s="12" t="n">
        <x:v>94500</x:v>
      </x:c>
    </x:row>
    <x:row r="42">
      <x:c r="A42" t="str">
        <x:v>2025-07</x:v>
      </x:c>
      <x:c r="B42" t="str">
        <x:v>P105</x:v>
      </x:c>
      <x:c r="C42" t="n">
        <x:v>3700</x:v>
      </x:c>
      <x:c r="D42" t="n">
        <x:v>3650</x:v>
      </x:c>
      <x:c r="E42" t="n">
        <x:v>37</x:v>
      </x:c>
      <x:c r="F42" s="12" t="n">
        <x:v>65700</x:v>
      </x:c>
    </x:row>
    <x:row r="43">
      <x:c r="A43" t="str">
        <x:v>2025-07</x:v>
      </x:c>
      <x:c r="B43" t="str">
        <x:v>P106</x:v>
      </x:c>
      <x:c r="C43" t="n">
        <x:v>1850</x:v>
      </x:c>
      <x:c r="D43" t="n">
        <x:v>1800</x:v>
      </x:c>
      <x:c r="E43" t="n">
        <x:v>27</x:v>
      </x:c>
      <x:c r="F43" s="12" t="n">
        <x:v>45000</x:v>
      </x:c>
    </x:row>
    <x:row r="44">
      <x:c r="A44" t="str">
        <x:v>2025-08</x:v>
      </x:c>
      <x:c r="B44" t="str">
        <x:v>P101</x:v>
      </x:c>
      <x:c r="C44" t="n">
        <x:v>1550</x:v>
      </x:c>
      <x:c r="D44" t="n">
        <x:v>1530</x:v>
      </x:c>
      <x:c r="E44" t="n">
        <x:v>25</x:v>
      </x:c>
      <x:c r="F44" s="12" t="n">
        <x:v>99450</x:v>
      </x:c>
    </x:row>
    <x:row r="45">
      <x:c r="A45" t="str">
        <x:v>2025-08</x:v>
      </x:c>
      <x:c r="B45" t="str">
        <x:v>P102</x:v>
      </x:c>
      <x:c r="C45" t="n">
        <x:v>2550</x:v>
      </x:c>
      <x:c r="D45" t="n">
        <x:v>2520</x:v>
      </x:c>
      <x:c r="E45" t="n">
        <x:v>48</x:v>
      </x:c>
      <x:c r="F45" s="12" t="n">
        <x:v>75600</x:v>
      </x:c>
    </x:row>
    <x:row r="46">
      <x:c r="A46" t="str">
        <x:v>2025-08</x:v>
      </x:c>
      <x:c r="B46" t="str">
        <x:v>P103</x:v>
      </x:c>
      <x:c r="C46" t="n">
        <x:v>500</x:v>
      </x:c>
      <x:c r="D46" t="n">
        <x:v>485</x:v>
      </x:c>
      <x:c r="E46" t="n">
        <x:v>31</x:v>
      </x:c>
      <x:c r="F46" s="12" t="n">
        <x:v>101850</x:v>
      </x:c>
    </x:row>
    <x:row r="47">
      <x:c r="A47" t="str">
        <x:v>2025-08</x:v>
      </x:c>
      <x:c r="B47" t="str">
        <x:v>P104</x:v>
      </x:c>
      <x:c r="C47" t="n">
        <x:v>2150</x:v>
      </x:c>
      <x:c r="D47" t="n">
        <x:v>2120</x:v>
      </x:c>
      <x:c r="E47" t="n">
        <x:v>39</x:v>
      </x:c>
      <x:c r="F47" s="12" t="n">
        <x:v>95400</x:v>
      </x:c>
    </x:row>
    <x:row r="48">
      <x:c r="A48" t="str">
        <x:v>2025-08</x:v>
      </x:c>
      <x:c r="B48" t="str">
        <x:v>P105</x:v>
      </x:c>
      <x:c r="C48" t="n">
        <x:v>3700</x:v>
      </x:c>
      <x:c r="D48" t="n">
        <x:v>3660</x:v>
      </x:c>
      <x:c r="E48" t="n">
        <x:v>36</x:v>
      </x:c>
      <x:c r="F48" s="12" t="n">
        <x:v>65880</x:v>
      </x:c>
    </x:row>
    <x:row r="49">
      <x:c r="A49" t="str">
        <x:v>2025-08</x:v>
      </x:c>
      <x:c r="B49" t="str">
        <x:v>P106</x:v>
      </x:c>
      <x:c r="C49" t="n">
        <x:v>1850</x:v>
      </x:c>
      <x:c r="D49" t="n">
        <x:v>1820</x:v>
      </x:c>
      <x:c r="E49" t="n">
        <x:v>26</x:v>
      </x:c>
      <x:c r="F49" s="12" t="n">
        <x:v>45500</x:v>
      </x:c>
    </x:row>
    <x:row r="50">
      <x:c r="A50" t="str">
        <x:v>2025-09</x:v>
      </x:c>
      <x:c r="B50" t="str">
        <x:v>P101</x:v>
      </x:c>
      <x:c r="C50" t="n">
        <x:v>1450</x:v>
      </x:c>
      <x:c r="D50" t="n">
        <x:v>1420</x:v>
      </x:c>
      <x:c r="E50" t="n">
        <x:v>24</x:v>
      </x:c>
      <x:c r="F50" s="12" t="n">
        <x:v>92300</x:v>
      </x:c>
    </x:row>
    <x:row r="51">
      <x:c r="A51" t="str">
        <x:v>2025-09</x:v>
      </x:c>
      <x:c r="B51" t="str">
        <x:v>P102</x:v>
      </x:c>
      <x:c r="C51" t="n">
        <x:v>2450</x:v>
      </x:c>
      <x:c r="D51" t="n">
        <x:v>2400</x:v>
      </x:c>
      <x:c r="E51" t="n">
        <x:v>45</x:v>
      </x:c>
      <x:c r="F51" s="12" t="n">
        <x:v>72000</x:v>
      </x:c>
    </x:row>
    <x:row r="52">
      <x:c r="A52" t="str">
        <x:v>2025-09</x:v>
      </x:c>
      <x:c r="B52" t="str">
        <x:v>P103</x:v>
      </x:c>
      <x:c r="C52" t="n">
        <x:v>480</x:v>
      </x:c>
      <x:c r="D52" t="n">
        <x:v>450</x:v>
      </x:c>
      <x:c r="E52" t="n">
        <x:v>29</x:v>
      </x:c>
      <x:c r="F52" s="12" t="n">
        <x:v>94500</x:v>
      </x:c>
    </x:row>
    <x:row r="53">
      <x:c r="A53" t="str">
        <x:v>2025-09</x:v>
      </x:c>
      <x:c r="B53" t="str">
        <x:v>P104</x:v>
      </x:c>
      <x:c r="C53" t="n">
        <x:v>2050</x:v>
      </x:c>
      <x:c r="D53" t="n">
        <x:v>2010</x:v>
      </x:c>
      <x:c r="E53" t="n">
        <x:v>38</x:v>
      </x:c>
      <x:c r="F53" s="12" t="n">
        <x:v>90450</x:v>
      </x:c>
    </x:row>
    <x:row r="54">
      <x:c r="A54" t="str">
        <x:v>2025-09</x:v>
      </x:c>
      <x:c r="B54" t="str">
        <x:v>P105</x:v>
      </x:c>
      <x:c r="C54" t="n">
        <x:v>3550</x:v>
      </x:c>
      <x:c r="D54" t="n">
        <x:v>3500</x:v>
      </x:c>
      <x:c r="E54" t="n">
        <x:v>35</x:v>
      </x:c>
      <x:c r="F54" s="12" t="n">
        <x:v>63000</x:v>
      </x:c>
    </x:row>
    <x:row r="55">
      <x:c r="A55" t="str">
        <x:v>2025-09</x:v>
      </x:c>
      <x:c r="B55" t="str">
        <x:v>P106</x:v>
      </x:c>
      <x:c r="C55" t="n">
        <x:v>1750</x:v>
      </x:c>
      <x:c r="D55" t="n">
        <x:v>1710</x:v>
      </x:c>
      <x:c r="E55" t="n">
        <x:v>25</x:v>
      </x:c>
      <x:c r="F55" s="12" t="n">
        <x:v>42750</x:v>
      </x:c>
    </x:row>
    <x:row r="56">
      <x:c r="A56" t="str">
        <x:v>2025-10</x:v>
      </x:c>
      <x:c r="B56" t="str">
        <x:v>P101</x:v>
      </x:c>
      <x:c r="C56" t="n">
        <x:v>1600</x:v>
      </x:c>
      <x:c r="D56" t="n">
        <x:v>1580</x:v>
      </x:c>
      <x:c r="E56" t="n">
        <x:v>27</x:v>
      </x:c>
      <x:c r="F56" s="12" t="n">
        <x:v>102700</x:v>
      </x:c>
    </x:row>
    <x:row r="57">
      <x:c r="A57" t="str">
        <x:v>2025-10</x:v>
      </x:c>
      <x:c r="B57" t="str">
        <x:v>P102</x:v>
      </x:c>
      <x:c r="C57" t="n">
        <x:v>2600</x:v>
      </x:c>
      <x:c r="D57" t="n">
        <x:v>2550</x:v>
      </x:c>
      <x:c r="E57" t="n">
        <x:v>51</x:v>
      </x:c>
      <x:c r="F57" s="12" t="n">
        <x:v>76500</x:v>
      </x:c>
    </x:row>
    <x:row r="58">
      <x:c r="A58" t="str">
        <x:v>2025-10</x:v>
      </x:c>
      <x:c r="B58" t="str">
        <x:v>P103</x:v>
      </x:c>
      <x:c r="C58" t="n">
        <x:v>500</x:v>
      </x:c>
      <x:c r="D58" t="n">
        <x:v>480</x:v>
      </x:c>
      <x:c r="E58" t="n">
        <x:v>32</x:v>
      </x:c>
      <x:c r="F58" s="12" t="n">
        <x:v>100800</x:v>
      </x:c>
    </x:row>
    <x:row r="59">
      <x:c r="A59" t="str">
        <x:v>2025-10</x:v>
      </x:c>
      <x:c r="B59" t="str">
        <x:v>P104</x:v>
      </x:c>
      <x:c r="C59" t="n">
        <x:v>2200</x:v>
      </x:c>
      <x:c r="D59" t="n">
        <x:v>2150</x:v>
      </x:c>
      <x:c r="E59" t="n">
        <x:v>42</x:v>
      </x:c>
      <x:c r="F59" s="12" t="n">
        <x:v>96750</x:v>
      </x:c>
    </x:row>
    <x:row r="60">
      <x:c r="A60" t="str">
        <x:v>2025-10</x:v>
      </x:c>
      <x:c r="B60" t="str">
        <x:v>P105</x:v>
      </x:c>
      <x:c r="C60" t="n">
        <x:v>3800</x:v>
      </x:c>
      <x:c r="D60" t="n">
        <x:v>3750</x:v>
      </x:c>
      <x:c r="E60" t="n">
        <x:v>38</x:v>
      </x:c>
      <x:c r="F60" s="12" t="n">
        <x:v>67500</x:v>
      </x:c>
    </x:row>
    <x:row r="61">
      <x:c r="A61" t="str">
        <x:v>2025-10</x:v>
      </x:c>
      <x:c r="B61" t="str">
        <x:v>P106</x:v>
      </x:c>
      <x:c r="C61" t="n">
        <x:v>1900</x:v>
      </x:c>
      <x:c r="D61" t="n">
        <x:v>1850</x:v>
      </x:c>
      <x:c r="E61" t="n">
        <x:v>27</x:v>
      </x:c>
      <x:c r="F61" s="12" t="n">
        <x:v>46250</x:v>
      </x:c>
    </x:row>
    <x:row r="62">
      <x:c r="A62" t="str">
        <x:v>2025-11</x:v>
      </x:c>
      <x:c r="B62" t="str">
        <x:v>P101</x:v>
      </x:c>
      <x:c r="C62" t="n">
        <x:v>1700</x:v>
      </x:c>
      <x:c r="D62" t="n">
        <x:v>1650</x:v>
      </x:c>
      <x:c r="E62" t="n">
        <x:v>29</x:v>
      </x:c>
      <x:c r="F62" s="12" t="n">
        <x:v>107250</x:v>
      </x:c>
    </x:row>
    <x:row r="63">
      <x:c r="A63" t="str">
        <x:v>2025-11</x:v>
      </x:c>
      <x:c r="B63" t="str">
        <x:v>P102</x:v>
      </x:c>
      <x:c r="C63" t="n">
        <x:v>2700</x:v>
      </x:c>
      <x:c r="D63" t="n">
        <x:v>2650</x:v>
      </x:c>
      <x:c r="E63" t="n">
        <x:v>53</x:v>
      </x:c>
      <x:c r="F63" s="12" t="n">
        <x:v>79500</x:v>
      </x:c>
    </x:row>
    <x:row r="64">
      <x:c r="A64" t="str">
        <x:v>2025-11</x:v>
      </x:c>
      <x:c r="B64" t="str">
        <x:v>P103</x:v>
      </x:c>
      <x:c r="C64" t="n">
        <x:v>500</x:v>
      </x:c>
      <x:c r="D64" t="n">
        <x:v>470</x:v>
      </x:c>
      <x:c r="E64" t="n">
        <x:v>33</x:v>
      </x:c>
      <x:c r="F64" s="12" t="n">
        <x:v>98700</x:v>
      </x:c>
    </x:row>
    <x:row r="65">
      <x:c r="A65" t="str">
        <x:v>2025-11</x:v>
      </x:c>
      <x:c r="B65" t="str">
        <x:v>P104</x:v>
      </x:c>
      <x:c r="C65" t="n">
        <x:v>2300</x:v>
      </x:c>
      <x:c r="D65" t="n">
        <x:v>2200</x:v>
      </x:c>
      <x:c r="E65" t="n">
        <x:v>44</x:v>
      </x:c>
      <x:c r="F65" s="12" t="n">
        <x:v>99000</x:v>
      </x:c>
    </x:row>
    <x:row r="66">
      <x:c r="A66" t="str">
        <x:v>2025-11</x:v>
      </x:c>
      <x:c r="B66" t="str">
        <x:v>P105</x:v>
      </x:c>
      <x:c r="C66" t="n">
        <x:v>4000</x:v>
      </x:c>
      <x:c r="D66" t="n">
        <x:v>3900</x:v>
      </x:c>
      <x:c r="E66" t="n">
        <x:v>39</x:v>
      </x:c>
      <x:c r="F66" s="12" t="n">
        <x:v>70200</x:v>
      </x:c>
    </x:row>
    <x:row r="67">
      <x:c r="A67" t="str">
        <x:v>2025-11</x:v>
      </x:c>
      <x:c r="B67" t="str">
        <x:v>P106</x:v>
      </x:c>
      <x:c r="C67" t="n">
        <x:v>2000</x:v>
      </x:c>
      <x:c r="D67" t="n">
        <x:v>1950</x:v>
      </x:c>
      <x:c r="E67" t="n">
        <x:v>29</x:v>
      </x:c>
      <x:c r="F67" s="12" t="n">
        <x:v>48750</x:v>
      </x:c>
    </x:row>
    <x:row r="68">
      <x:c r="A68" t="str">
        <x:v>2025-12</x:v>
      </x:c>
      <x:c r="B68" t="str">
        <x:v>P101</x:v>
      </x:c>
      <x:c r="C68" t="n">
        <x:v>1800</x:v>
      </x:c>
      <x:c r="D68" t="n">
        <x:v>1750</x:v>
      </x:c>
      <x:c r="E68" t="n">
        <x:v>31</x:v>
      </x:c>
      <x:c r="F68" s="12" t="n">
        <x:v>113750</x:v>
      </x:c>
    </x:row>
    <x:row r="69">
      <x:c r="A69" t="str">
        <x:v>2025-12</x:v>
      </x:c>
      <x:c r="B69" t="str">
        <x:v>P102</x:v>
      </x:c>
      <x:c r="C69" t="n">
        <x:v>2800</x:v>
      </x:c>
      <x:c r="D69" t="n">
        <x:v>2700</x:v>
      </x:c>
      <x:c r="E69" t="n">
        <x:v>55</x:v>
      </x:c>
      <x:c r="F69" s="12" t="n">
        <x:v>81000</x:v>
      </x:c>
    </x:row>
    <x:row r="70">
      <x:c r="A70" t="str">
        <x:v>2025-12</x:v>
      </x:c>
      <x:c r="B70" t="str">
        <x:v>P103</x:v>
      </x:c>
      <x:c r="C70" t="n">
        <x:v>500</x:v>
      </x:c>
      <x:c r="D70" t="n">
        <x:v>460</x:v>
      </x:c>
      <x:c r="E70" t="n">
        <x:v>34</x:v>
      </x:c>
      <x:c r="F70" s="12" t="n">
        <x:v>96600</x:v>
      </x:c>
    </x:row>
    <x:row r="71">
      <x:c r="A71" t="str">
        <x:v>2025-12</x:v>
      </x:c>
      <x:c r="B71" t="str">
        <x:v>P104</x:v>
      </x:c>
      <x:c r="C71" t="n">
        <x:v>2400</x:v>
      </x:c>
      <x:c r="D71" t="n">
        <x:v>2300</x:v>
      </x:c>
      <x:c r="E71" t="n">
        <x:v>46</x:v>
      </x:c>
      <x:c r="F71" s="12" t="n">
        <x:v>103500</x:v>
      </x:c>
    </x:row>
    <x:row r="72">
      <x:c r="A72" t="str">
        <x:v>2025-12</x:v>
      </x:c>
      <x:c r="B72" t="str">
        <x:v>P105</x:v>
      </x:c>
      <x:c r="C72" t="n">
        <x:v>4100</x:v>
      </x:c>
      <x:c r="D72" t="n">
        <x:v>4000</x:v>
      </x:c>
      <x:c r="E72" t="n">
        <x:v>40</x:v>
      </x:c>
      <x:c r="F72" s="12" t="n">
        <x:v>72000</x:v>
      </x:c>
    </x:row>
    <x:row r="73">
      <x:c r="A73" t="str">
        <x:v>2025-12</x:v>
      </x:c>
      <x:c r="B73" t="str">
        <x:v>P106</x:v>
      </x:c>
      <x:c r="C73" t="n">
        <x:v>2100</x:v>
      </x:c>
      <x:c r="D73" t="n">
        <x:v>2000</x:v>
      </x:c>
      <x:c r="E73" t="n">
        <x:v>30</x:v>
      </x:c>
      <x:c r="F73" s="12" t="n">
        <x:v>50000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6" hidden="0" customWidth="1"/>
    <x:col min="5" max="5" width="12" hidden="0" customWidth="1"/>
    <x:col min="6" max="6" width="19" hidden="0" customWidth="1"/>
    <x:col min="7" max="7" width="14" hidden="0" customWidth="1"/>
    <x:col min="8" max="8" width="15" hidden="0" customWidth="1"/>
  </x:cols>
  <x:sheetData>
    <x:row r="1">
      <x:c r="A1" s="5" t="str">
        <x:v>Month</x:v>
      </x:c>
      <x:c r="B1" s="5" t="str">
        <x:v>Product_ID</x:v>
      </x:c>
      <x:c r="C1" s="5" t="str">
        <x:v>Opening_Inventory</x:v>
      </x:c>
      <x:c r="D1" s="5" t="str">
        <x:v>Units_Produced</x:v>
      </x:c>
      <x:c r="E1" s="5" t="str">
        <x:v>Units_Sold</x:v>
      </x:c>
      <x:c r="F1" s="5" t="str">
        <x:v>Closing_Inventory</x:v>
      </x:c>
      <x:c r="G1" s="5" t="str">
        <x:v>Safety_Stock</x:v>
      </x:c>
      <x:c r="H1" s="5" t="str">
        <x:v>Stockout_Flag</x:v>
      </x:c>
    </x:row>
    <x:row r="2">
      <x:c r="A2" t="str">
        <x:v>2025-01</x:v>
      </x:c>
      <x:c r="B2" t="str">
        <x:v>P101</x:v>
      </x:c>
      <x:c r="C2" t="n">
        <x:v>1800</x:v>
      </x:c>
      <x:c r="D2" t="n">
        <x:v>1196</x:v>
      </x:c>
      <x:c r="E2" t="n">
        <x:v>1200</x:v>
      </x:c>
      <x:c r="F2" t="n">
        <x:v>1796</x:v>
      </x:c>
      <x:c r="G2" t="n">
        <x:v>300</x:v>
      </x:c>
      <x:c r="H2" t="n">
        <x:v>0</x:v>
      </x:c>
    </x:row>
    <x:row r="3">
      <x:c r="A3" t="str">
        <x:v>2025-01</x:v>
      </x:c>
      <x:c r="B3" t="str">
        <x:v>P102</x:v>
      </x:c>
      <x:c r="C3" t="n">
        <x:v>2200</x:v>
      </x:c>
      <x:c r="D3" t="n">
        <x:v>2205</x:v>
      </x:c>
      <x:c r="E3" t="n">
        <x:v>2200</x:v>
      </x:c>
      <x:c r="F3" t="n">
        <x:v>2205</x:v>
      </x:c>
      <x:c r="G3" t="n">
        <x:v>400</x:v>
      </x:c>
      <x:c r="H3" t="n">
        <x:v>0</x:v>
      </x:c>
    </x:row>
    <x:row r="4">
      <x:c r="A4" t="str">
        <x:v>2025-01</x:v>
      </x:c>
      <x:c r="B4" t="str">
        <x:v>P103</x:v>
      </x:c>
      <x:c r="C4" t="n">
        <x:v>900</x:v>
      </x:c>
      <x:c r="D4" t="n">
        <x:v>432</x:v>
      </x:c>
      <x:c r="E4" t="n">
        <x:v>450</x:v>
      </x:c>
      <x:c r="F4" t="n">
        <x:v>882</x:v>
      </x:c>
      <x:c r="G4" t="n">
        <x:v>100</x:v>
      </x:c>
      <x:c r="H4" t="n">
        <x:v>0</x:v>
      </x:c>
    </x:row>
    <x:row r="5">
      <x:c r="A5" t="str">
        <x:v>2025-01</x:v>
      </x:c>
      <x:c r="B5" t="str">
        <x:v>P104</x:v>
      </x:c>
      <x:c r="C5" t="n">
        <x:v>1500</x:v>
      </x:c>
      <x:c r="D5" t="n">
        <x:v>1774</x:v>
      </x:c>
      <x:c r="E5" t="n">
        <x:v>1800</x:v>
      </x:c>
      <x:c r="F5" t="n">
        <x:v>1474</x:v>
      </x:c>
      <x:c r="G5" t="n">
        <x:v>350</x:v>
      </x:c>
      <x:c r="H5" t="n">
        <x:v>0</x:v>
      </x:c>
    </x:row>
    <x:row r="6">
      <x:c r="A6" t="str">
        <x:v>2025-01</x:v>
      </x:c>
      <x:c r="B6" t="str">
        <x:v>P105</x:v>
      </x:c>
      <x:c r="C6" t="n">
        <x:v>2600</x:v>
      </x:c>
      <x:c r="D6" t="n">
        <x:v>3119</x:v>
      </x:c>
      <x:c r="E6" t="n">
        <x:v>3100</x:v>
      </x:c>
      <x:c r="F6" t="n">
        <x:v>2619</x:v>
      </x:c>
      <x:c r="G6" t="n">
        <x:v>500</x:v>
      </x:c>
      <x:c r="H6" t="n">
        <x:v>0</x:v>
      </x:c>
    </x:row>
    <x:row r="7">
      <x:c r="A7" t="str">
        <x:v>2025-01</x:v>
      </x:c>
      <x:c r="B7" t="str">
        <x:v>P106</x:v>
      </x:c>
      <x:c r="C7" t="n">
        <x:v>2200</x:v>
      </x:c>
      <x:c r="D7" t="n">
        <x:v>1527</x:v>
      </x:c>
      <x:c r="E7" t="n">
        <x:v>1500</x:v>
      </x:c>
      <x:c r="F7" t="n">
        <x:v>2227</x:v>
      </x:c>
      <x:c r="G7" t="n">
        <x:v>300</x:v>
      </x:c>
      <x:c r="H7" t="n">
        <x:v>0</x:v>
      </x:c>
    </x:row>
    <x:row r="8">
      <x:c r="A8" t="str">
        <x:v>2025-02</x:v>
      </x:c>
      <x:c r="B8" t="str">
        <x:v>P101</x:v>
      </x:c>
      <x:c r="C8" t="n">
        <x:v>1796</x:v>
      </x:c>
      <x:c r="D8" t="n">
        <x:v>1159</x:v>
      </x:c>
      <x:c r="E8" t="n">
        <x:v>1150</x:v>
      </x:c>
      <x:c r="F8" t="n">
        <x:v>1805</x:v>
      </x:c>
      <x:c r="G8" t="n">
        <x:v>300</x:v>
      </x:c>
      <x:c r="H8" t="n">
        <x:v>0</x:v>
      </x:c>
    </x:row>
    <x:row r="9">
      <x:c r="A9" t="str">
        <x:v>2025-02</x:v>
      </x:c>
      <x:c r="B9" t="str">
        <x:v>P102</x:v>
      </x:c>
      <x:c r="C9" t="n">
        <x:v>2205</x:v>
      </x:c>
      <x:c r="D9" t="n">
        <x:v>2107</x:v>
      </x:c>
      <x:c r="E9" t="n">
        <x:v>2100</x:v>
      </x:c>
      <x:c r="F9" t="n">
        <x:v>2212</x:v>
      </x:c>
      <x:c r="G9" t="n">
        <x:v>400</x:v>
      </x:c>
      <x:c r="H9" t="n">
        <x:v>0</x:v>
      </x:c>
    </x:row>
    <x:row r="10">
      <x:c r="A10" t="str">
        <x:v>2025-02</x:v>
      </x:c>
      <x:c r="B10" t="str">
        <x:v>P103</x:v>
      </x:c>
      <x:c r="C10" t="n">
        <x:v>882</x:v>
      </x:c>
      <x:c r="D10" t="n">
        <x:v>440</x:v>
      </x:c>
      <x:c r="E10" t="n">
        <x:v>480</x:v>
      </x:c>
      <x:c r="F10" t="n">
        <x:v>842</x:v>
      </x:c>
      <x:c r="G10" t="n">
        <x:v>100</x:v>
      </x:c>
      <x:c r="H10" t="n">
        <x:v>0</x:v>
      </x:c>
    </x:row>
    <x:row r="11">
      <x:c r="A11" t="str">
        <x:v>2025-02</x:v>
      </x:c>
      <x:c r="B11" t="str">
        <x:v>P104</x:v>
      </x:c>
      <x:c r="C11" t="n">
        <x:v>1474</x:v>
      </x:c>
      <x:c r="D11" t="n">
        <x:v>1748</x:v>
      </x:c>
      <x:c r="E11" t="n">
        <x:v>1750</x:v>
      </x:c>
      <x:c r="F11" t="n">
        <x:v>1472</x:v>
      </x:c>
      <x:c r="G11" t="n">
        <x:v>350</x:v>
      </x:c>
      <x:c r="H11" t="n">
        <x:v>0</x:v>
      </x:c>
    </x:row>
    <x:row r="12">
      <x:c r="A12" t="str">
        <x:v>2025-02</x:v>
      </x:c>
      <x:c r="B12" t="str">
        <x:v>P105</x:v>
      </x:c>
      <x:c r="C12" t="n">
        <x:v>2619</x:v>
      </x:c>
      <x:c r="D12" t="n">
        <x:v>3247</x:v>
      </x:c>
      <x:c r="E12" t="n">
        <x:v>3250</x:v>
      </x:c>
      <x:c r="F12" t="n">
        <x:v>2616</x:v>
      </x:c>
      <x:c r="G12" t="n">
        <x:v>500</x:v>
      </x:c>
      <x:c r="H12" t="n">
        <x:v>0</x:v>
      </x:c>
    </x:row>
    <x:row r="13">
      <x:c r="A13" t="str">
        <x:v>2025-02</x:v>
      </x:c>
      <x:c r="B13" t="str">
        <x:v>P106</x:v>
      </x:c>
      <x:c r="C13" t="n">
        <x:v>2227</x:v>
      </x:c>
      <x:c r="D13" t="n">
        <x:v>1458</x:v>
      </x:c>
      <x:c r="E13" t="n">
        <x:v>1450</x:v>
      </x:c>
      <x:c r="F13" t="n">
        <x:v>2235</x:v>
      </x:c>
      <x:c r="G13" t="n">
        <x:v>300</x:v>
      </x:c>
      <x:c r="H13" t="n">
        <x:v>0</x:v>
      </x:c>
    </x:row>
    <x:row r="14">
      <x:c r="A14" t="str">
        <x:v>2025-03</x:v>
      </x:c>
      <x:c r="B14" t="str">
        <x:v>P101</x:v>
      </x:c>
      <x:c r="C14" t="n">
        <x:v>1805</x:v>
      </x:c>
      <x:c r="D14" t="n">
        <x:v>1267</x:v>
      </x:c>
      <x:c r="E14" t="n">
        <x:v>1300</x:v>
      </x:c>
      <x:c r="F14" t="n">
        <x:v>1772</x:v>
      </x:c>
      <x:c r="G14" t="n">
        <x:v>300</x:v>
      </x:c>
      <x:c r="H14" t="n">
        <x:v>0</x:v>
      </x:c>
    </x:row>
    <x:row r="15">
      <x:c r="A15" t="str">
        <x:v>2025-03</x:v>
      </x:c>
      <x:c r="B15" t="str">
        <x:v>P102</x:v>
      </x:c>
      <x:c r="C15" t="n">
        <x:v>2212</x:v>
      </x:c>
      <x:c r="D15" t="n">
        <x:v>2268</x:v>
      </x:c>
      <x:c r="E15" t="n">
        <x:v>2300</x:v>
      </x:c>
      <x:c r="F15" t="n">
        <x:v>2180</x:v>
      </x:c>
      <x:c r="G15" t="n">
        <x:v>400</x:v>
      </x:c>
      <x:c r="H15" t="n">
        <x:v>0</x:v>
      </x:c>
    </x:row>
    <x:row r="16">
      <x:c r="A16" t="str">
        <x:v>2025-03</x:v>
      </x:c>
      <x:c r="B16" t="str">
        <x:v>P103</x:v>
      </x:c>
      <x:c r="C16" t="n">
        <x:v>842</x:v>
      </x:c>
      <x:c r="D16" t="n">
        <x:v>404</x:v>
      </x:c>
      <x:c r="E16" t="n">
        <x:v>420</x:v>
      </x:c>
      <x:c r="F16" t="n">
        <x:v>826</x:v>
      </x:c>
      <x:c r="G16" t="n">
        <x:v>100</x:v>
      </x:c>
      <x:c r="H16" t="n">
        <x:v>0</x:v>
      </x:c>
    </x:row>
    <x:row r="17">
      <x:c r="A17" t="str">
        <x:v>2025-03</x:v>
      </x:c>
      <x:c r="B17" t="str">
        <x:v>P104</x:v>
      </x:c>
      <x:c r="C17" t="n">
        <x:v>1472</x:v>
      </x:c>
      <x:c r="D17" t="n">
        <x:v>1845</x:v>
      </x:c>
      <x:c r="E17" t="n">
        <x:v>1900</x:v>
      </x:c>
      <x:c r="F17" t="n">
        <x:v>1417</x:v>
      </x:c>
      <x:c r="G17" t="n">
        <x:v>350</x:v>
      </x:c>
      <x:c r="H17" t="n">
        <x:v>0</x:v>
      </x:c>
    </x:row>
    <x:row r="18">
      <x:c r="A18" t="str">
        <x:v>2025-03</x:v>
      </x:c>
      <x:c r="B18" t="str">
        <x:v>P105</x:v>
      </x:c>
      <x:c r="C18" t="n">
        <x:v>2616</x:v>
      </x:c>
      <x:c r="D18" t="n">
        <x:v>3020</x:v>
      </x:c>
      <x:c r="E18" t="n">
        <x:v>3000</x:v>
      </x:c>
      <x:c r="F18" t="n">
        <x:v>2636</x:v>
      </x:c>
      <x:c r="G18" t="n">
        <x:v>500</x:v>
      </x:c>
      <x:c r="H18" t="n">
        <x:v>0</x:v>
      </x:c>
    </x:row>
    <x:row r="19">
      <x:c r="A19" t="str">
        <x:v>2025-03</x:v>
      </x:c>
      <x:c r="B19" t="str">
        <x:v>P106</x:v>
      </x:c>
      <x:c r="C19" t="n">
        <x:v>2235</x:v>
      </x:c>
      <x:c r="D19" t="n">
        <x:v>1596</x:v>
      </x:c>
      <x:c r="E19" t="n">
        <x:v>1600</x:v>
      </x:c>
      <x:c r="F19" t="n">
        <x:v>2231</x:v>
      </x:c>
      <x:c r="G19" t="n">
        <x:v>300</x:v>
      </x:c>
      <x:c r="H19" t="n">
        <x:v>0</x:v>
      </x:c>
    </x:row>
    <x:row r="20">
      <x:c r="A20" t="str">
        <x:v>2025-04</x:v>
      </x:c>
      <x:c r="B20" t="str">
        <x:v>P101</x:v>
      </x:c>
      <x:c r="C20" t="n">
        <x:v>1772</x:v>
      </x:c>
      <x:c r="D20" t="n">
        <x:v>1355</x:v>
      </x:c>
      <x:c r="E20" t="n">
        <x:v>1400</x:v>
      </x:c>
      <x:c r="F20" t="n">
        <x:v>1727</x:v>
      </x:c>
      <x:c r="G20" t="n">
        <x:v>300</x:v>
      </x:c>
      <x:c r="H20" t="n">
        <x:v>0</x:v>
      </x:c>
    </x:row>
    <x:row r="21">
      <x:c r="A21" t="str">
        <x:v>2025-04</x:v>
      </x:c>
      <x:c r="B21" t="str">
        <x:v>P102</x:v>
      </x:c>
      <x:c r="C21" t="n">
        <x:v>2180</x:v>
      </x:c>
      <x:c r="D21" t="n">
        <x:v>2352</x:v>
      </x:c>
      <x:c r="E21" t="n">
        <x:v>2400</x:v>
      </x:c>
      <x:c r="F21" t="n">
        <x:v>2132</x:v>
      </x:c>
      <x:c r="G21" t="n">
        <x:v>400</x:v>
      </x:c>
      <x:c r="H21" t="n">
        <x:v>0</x:v>
      </x:c>
    </x:row>
    <x:row r="22">
      <x:c r="A22" t="str">
        <x:v>2025-04</x:v>
      </x:c>
      <x:c r="B22" t="str">
        <x:v>P103</x:v>
      </x:c>
      <x:c r="C22" t="n">
        <x:v>826</x:v>
      </x:c>
      <x:c r="D22" t="n">
        <x:v>449</x:v>
      </x:c>
      <x:c r="E22" t="n">
        <x:v>500</x:v>
      </x:c>
      <x:c r="F22" t="n">
        <x:v>775</x:v>
      </x:c>
      <x:c r="G22" t="n">
        <x:v>100</x:v>
      </x:c>
      <x:c r="H22" t="n">
        <x:v>0</x:v>
      </x:c>
    </x:row>
    <x:row r="23">
      <x:c r="A23" t="str">
        <x:v>2025-04</x:v>
      </x:c>
      <x:c r="B23" t="str">
        <x:v>P104</x:v>
      </x:c>
      <x:c r="C23" t="n">
        <x:v>1417</x:v>
      </x:c>
      <x:c r="D23" t="n">
        <x:v>1932</x:v>
      </x:c>
      <x:c r="E23" t="n">
        <x:v>2000</x:v>
      </x:c>
      <x:c r="F23" t="n">
        <x:v>1349</x:v>
      </x:c>
      <x:c r="G23" t="n">
        <x:v>350</x:v>
      </x:c>
      <x:c r="H23" t="n">
        <x:v>0</x:v>
      </x:c>
    </x:row>
    <x:row r="24">
      <x:c r="A24" t="str">
        <x:v>2025-04</x:v>
      </x:c>
      <x:c r="B24" t="str">
        <x:v>P105</x:v>
      </x:c>
      <x:c r="C24" t="n">
        <x:v>2636</x:v>
      </x:c>
      <x:c r="D24" t="n">
        <x:v>3316</x:v>
      </x:c>
      <x:c r="E24" t="n">
        <x:v>3400</x:v>
      </x:c>
      <x:c r="F24" t="n">
        <x:v>2552</x:v>
      </x:c>
      <x:c r="G24" t="n">
        <x:v>500</x:v>
      </x:c>
      <x:c r="H24" t="n">
        <x:v>0</x:v>
      </x:c>
    </x:row>
    <x:row r="25">
      <x:c r="A25" t="str">
        <x:v>2025-04</x:v>
      </x:c>
      <x:c r="B25" t="str">
        <x:v>P106</x:v>
      </x:c>
      <x:c r="C25" t="n">
        <x:v>2231</x:v>
      </x:c>
      <x:c r="D25" t="n">
        <x:v>1655</x:v>
      </x:c>
      <x:c r="E25" t="n">
        <x:v>1700</x:v>
      </x:c>
      <x:c r="F25" t="n">
        <x:v>2186</x:v>
      </x:c>
      <x:c r="G25" t="n">
        <x:v>300</x:v>
      </x:c>
      <x:c r="H25" t="n">
        <x:v>0</x:v>
      </x:c>
    </x:row>
    <x:row r="26">
      <x:c r="A26" t="str">
        <x:v>2025-05</x:v>
      </x:c>
      <x:c r="B26" t="str">
        <x:v>P101</x:v>
      </x:c>
      <x:c r="C26" t="n">
        <x:v>1727</x:v>
      </x:c>
      <x:c r="D26" t="n">
        <x:v>1318</x:v>
      </x:c>
      <x:c r="E26" t="n">
        <x:v>1350</x:v>
      </x:c>
      <x:c r="F26" t="n">
        <x:v>1695</x:v>
      </x:c>
      <x:c r="G26" t="n">
        <x:v>300</x:v>
      </x:c>
      <x:c r="H26" t="n">
        <x:v>0</x:v>
      </x:c>
    </x:row>
    <x:row r="27">
      <x:c r="A27" t="str">
        <x:v>2025-05</x:v>
      </x:c>
      <x:c r="B27" t="str">
        <x:v>P102</x:v>
      </x:c>
      <x:c r="C27" t="n">
        <x:v>2132</x:v>
      </x:c>
      <x:c r="D27" t="n">
        <x:v>2334</x:v>
      </x:c>
      <x:c r="E27" t="n">
        <x:v>2350</x:v>
      </x:c>
      <x:c r="F27" t="n">
        <x:v>2116</x:v>
      </x:c>
      <x:c r="G27" t="n">
        <x:v>400</x:v>
      </x:c>
      <x:c r="H27" t="n">
        <x:v>0</x:v>
      </x:c>
    </x:row>
    <x:row r="28">
      <x:c r="A28" t="str">
        <x:v>2025-05</x:v>
      </x:c>
      <x:c r="B28" t="str">
        <x:v>P103</x:v>
      </x:c>
      <x:c r="C28" t="n">
        <x:v>775</x:v>
      </x:c>
      <x:c r="D28" t="n">
        <x:v>458</x:v>
      </x:c>
      <x:c r="E28" t="n">
        <x:v>510</x:v>
      </x:c>
      <x:c r="F28" t="n">
        <x:v>723</x:v>
      </x:c>
      <x:c r="G28" t="n">
        <x:v>100</x:v>
      </x:c>
      <x:c r="H28" t="n">
        <x:v>0</x:v>
      </x:c>
    </x:row>
    <x:row r="29">
      <x:c r="A29" t="str">
        <x:v>2025-05</x:v>
      </x:c>
      <x:c r="B29" t="str">
        <x:v>P104</x:v>
      </x:c>
      <x:c r="C29" t="n">
        <x:v>1349</x:v>
      </x:c>
      <x:c r="D29" t="n">
        <x:v>1884</x:v>
      </x:c>
      <x:c r="E29" t="n">
        <x:v>1950</x:v>
      </x:c>
      <x:c r="F29" t="n">
        <x:v>1283</x:v>
      </x:c>
      <x:c r="G29" t="n">
        <x:v>350</x:v>
      </x:c>
      <x:c r="H29" t="n">
        <x:v>0</x:v>
      </x:c>
    </x:row>
    <x:row r="30">
      <x:c r="A30" t="str">
        <x:v>2025-05</x:v>
      </x:c>
      <x:c r="B30" t="str">
        <x:v>P105</x:v>
      </x:c>
      <x:c r="C30" t="n">
        <x:v>2552</x:v>
      </x:c>
      <x:c r="D30" t="n">
        <x:v>3445</x:v>
      </x:c>
      <x:c r="E30" t="n">
        <x:v>3500</x:v>
      </x:c>
      <x:c r="F30" t="n">
        <x:v>2497</x:v>
      </x:c>
      <x:c r="G30" t="n">
        <x:v>500</x:v>
      </x:c>
      <x:c r="H30" t="n">
        <x:v>0</x:v>
      </x:c>
    </x:row>
    <x:row r="31">
      <x:c r="A31" t="str">
        <x:v>2025-05</x:v>
      </x:c>
      <x:c r="B31" t="str">
        <x:v>P106</x:v>
      </x:c>
      <x:c r="C31" t="n">
        <x:v>2186</x:v>
      </x:c>
      <x:c r="D31" t="n">
        <x:v>1606</x:v>
      </x:c>
      <x:c r="E31" t="n">
        <x:v>1650</x:v>
      </x:c>
      <x:c r="F31" t="n">
        <x:v>2142</x:v>
      </x:c>
      <x:c r="G31" t="n">
        <x:v>300</x:v>
      </x:c>
      <x:c r="H31" t="n">
        <x:v>0</x:v>
      </x:c>
    </x:row>
    <x:row r="32">
      <x:c r="A32" t="str">
        <x:v>2025-06</x:v>
      </x:c>
      <x:c r="B32" t="str">
        <x:v>P101</x:v>
      </x:c>
      <x:c r="C32" t="n">
        <x:v>1695</x:v>
      </x:c>
      <x:c r="D32" t="n">
        <x:v>1434</x:v>
      </x:c>
      <x:c r="E32" t="n">
        <x:v>1500</x:v>
      </x:c>
      <x:c r="F32" t="n">
        <x:v>1629</x:v>
      </x:c>
      <x:c r="G32" t="n">
        <x:v>300</x:v>
      </x:c>
      <x:c r="H32" t="n">
        <x:v>0</x:v>
      </x:c>
    </x:row>
    <x:row r="33">
      <x:c r="A33" t="str">
        <x:v>2025-06</x:v>
      </x:c>
      <x:c r="B33" t="str">
        <x:v>P102</x:v>
      </x:c>
      <x:c r="C33" t="n">
        <x:v>2116</x:v>
      </x:c>
      <x:c r="D33" t="n">
        <x:v>2401</x:v>
      </x:c>
      <x:c r="E33" t="n">
        <x:v>2500</x:v>
      </x:c>
      <x:c r="F33" t="n">
        <x:v>2017</x:v>
      </x:c>
      <x:c r="G33" t="n">
        <x:v>400</x:v>
      </x:c>
      <x:c r="H33" t="n">
        <x:v>0</x:v>
      </x:c>
    </x:row>
    <x:row r="34">
      <x:c r="A34" t="str">
        <x:v>2025-06</x:v>
      </x:c>
      <x:c r="B34" t="str">
        <x:v>P103</x:v>
      </x:c>
      <x:c r="C34" t="n">
        <x:v>723</x:v>
      </x:c>
      <x:c r="D34" t="n">
        <x:v>440</x:v>
      </x:c>
      <x:c r="E34" t="n">
        <x:v>490</x:v>
      </x:c>
      <x:c r="F34" t="n">
        <x:v>673</x:v>
      </x:c>
      <x:c r="G34" t="n">
        <x:v>100</x:v>
      </x:c>
      <x:c r="H34" t="n">
        <x:v>0</x:v>
      </x:c>
    </x:row>
    <x:row r="35">
      <x:c r="A35" t="str">
        <x:v>2025-06</x:v>
      </x:c>
      <x:c r="B35" t="str">
        <x:v>P104</x:v>
      </x:c>
      <x:c r="C35" t="n">
        <x:v>1283</x:v>
      </x:c>
      <x:c r="D35" t="n">
        <x:v>2010</x:v>
      </x:c>
      <x:c r="E35" t="n">
        <x:v>2100</x:v>
      </x:c>
      <x:c r="F35" t="n">
        <x:v>1193</x:v>
      </x:c>
      <x:c r="G35" t="n">
        <x:v>350</x:v>
      </x:c>
      <x:c r="H35" t="n">
        <x:v>0</x:v>
      </x:c>
    </x:row>
    <x:row r="36">
      <x:c r="A36" t="str">
        <x:v>2025-06</x:v>
      </x:c>
      <x:c r="B36" t="str">
        <x:v>P105</x:v>
      </x:c>
      <x:c r="C36" t="n">
        <x:v>2497</x:v>
      </x:c>
      <x:c r="D36" t="n">
        <x:v>3514</x:v>
      </x:c>
      <x:c r="E36" t="n">
        <x:v>3600</x:v>
      </x:c>
      <x:c r="F36" t="n">
        <x:v>2411</x:v>
      </x:c>
      <x:c r="G36" t="n">
        <x:v>500</x:v>
      </x:c>
      <x:c r="H36" t="n">
        <x:v>0</x:v>
      </x:c>
    </x:row>
    <x:row r="37">
      <x:c r="A37" t="str">
        <x:v>2025-06</x:v>
      </x:c>
      <x:c r="B37" t="str">
        <x:v>P106</x:v>
      </x:c>
      <x:c r="C37" t="n">
        <x:v>2142</x:v>
      </x:c>
      <x:c r="D37" t="n">
        <x:v>1734</x:v>
      </x:c>
      <x:c r="E37" t="n">
        <x:v>1800</x:v>
      </x:c>
      <x:c r="F37" t="n">
        <x:v>2076</x:v>
      </x:c>
      <x:c r="G37" t="n">
        <x:v>300</x:v>
      </x:c>
      <x:c r="H37" t="n">
        <x:v>0</x:v>
      </x:c>
    </x:row>
    <x:row r="38">
      <x:c r="A38" t="str">
        <x:v>2025-07</x:v>
      </x:c>
      <x:c r="B38" t="str">
        <x:v>P101</x:v>
      </x:c>
      <x:c r="C38" t="n">
        <x:v>1629</x:v>
      </x:c>
      <x:c r="D38" t="n">
        <x:v>1493</x:v>
      </x:c>
      <x:c r="E38" t="n">
        <x:v>1600</x:v>
      </x:c>
      <x:c r="F38" t="n">
        <x:v>1522</x:v>
      </x:c>
      <x:c r="G38" t="n">
        <x:v>300</x:v>
      </x:c>
      <x:c r="H38" t="n">
        <x:v>0</x:v>
      </x:c>
    </x:row>
    <x:row r="39">
      <x:c r="A39" t="str">
        <x:v>2025-07</x:v>
      </x:c>
      <x:c r="B39" t="str">
        <x:v>P102</x:v>
      </x:c>
      <x:c r="C39" t="n">
        <x:v>2017</x:v>
      </x:c>
      <x:c r="D39" t="n">
        <x:v>2450</x:v>
      </x:c>
      <x:c r="E39" t="n">
        <x:v>2600</x:v>
      </x:c>
      <x:c r="F39" t="n">
        <x:v>1867</x:v>
      </x:c>
      <x:c r="G39" t="n">
        <x:v>400</x:v>
      </x:c>
      <x:c r="H39" t="n">
        <x:v>0</x:v>
      </x:c>
    </x:row>
    <x:row r="40">
      <x:c r="A40" t="str">
        <x:v>2025-07</x:v>
      </x:c>
      <x:c r="B40" t="str">
        <x:v>P103</x:v>
      </x:c>
      <x:c r="C40" t="n">
        <x:v>673</x:v>
      </x:c>
      <x:c r="D40" t="n">
        <x:v>447</x:v>
      </x:c>
      <x:c r="E40" t="n">
        <x:v>530</x:v>
      </x:c>
      <x:c r="F40" t="n">
        <x:v>590</x:v>
      </x:c>
      <x:c r="G40" t="n">
        <x:v>100</x:v>
      </x:c>
      <x:c r="H40" t="n">
        <x:v>0</x:v>
      </x:c>
    </x:row>
    <x:row r="41">
      <x:c r="A41" t="str">
        <x:v>2025-07</x:v>
      </x:c>
      <x:c r="B41" t="str">
        <x:v>P104</x:v>
      </x:c>
      <x:c r="C41" t="n">
        <x:v>1193</x:v>
      </x:c>
      <x:c r="D41" t="n">
        <x:v>2059</x:v>
      </x:c>
      <x:c r="E41" t="n">
        <x:v>2200</x:v>
      </x:c>
      <x:c r="F41" t="n">
        <x:v>1052</x:v>
      </x:c>
      <x:c r="G41" t="n">
        <x:v>350</x:v>
      </x:c>
      <x:c r="H41" t="n">
        <x:v>0</x:v>
      </x:c>
    </x:row>
    <x:row r="42">
      <x:c r="A42" t="str">
        <x:v>2025-07</x:v>
      </x:c>
      <x:c r="B42" t="str">
        <x:v>P105</x:v>
      </x:c>
      <x:c r="C42" t="n">
        <x:v>2411</x:v>
      </x:c>
      <x:c r="D42" t="n">
        <x:v>3613</x:v>
      </x:c>
      <x:c r="E42" t="n">
        <x:v>3800</x:v>
      </x:c>
      <x:c r="F42" t="n">
        <x:v>2224</x:v>
      </x:c>
      <x:c r="G42" t="n">
        <x:v>500</x:v>
      </x:c>
      <x:c r="H42" t="n">
        <x:v>0</x:v>
      </x:c>
    </x:row>
    <x:row r="43">
      <x:c r="A43" t="str">
        <x:v>2025-07</x:v>
      </x:c>
      <x:c r="B43" t="str">
        <x:v>P106</x:v>
      </x:c>
      <x:c r="C43" t="n">
        <x:v>2076</x:v>
      </x:c>
      <x:c r="D43" t="n">
        <x:v>1773</x:v>
      </x:c>
      <x:c r="E43" t="n">
        <x:v>1900</x:v>
      </x:c>
      <x:c r="F43" t="n">
        <x:v>1949</x:v>
      </x:c>
      <x:c r="G43" t="n">
        <x:v>300</x:v>
      </x:c>
      <x:c r="H43" t="n">
        <x:v>0</x:v>
      </x:c>
    </x:row>
    <x:row r="44">
      <x:c r="A44" t="str">
        <x:v>2025-08</x:v>
      </x:c>
      <x:c r="B44" t="str">
        <x:v>P101</x:v>
      </x:c>
      <x:c r="C44" t="n">
        <x:v>1522</x:v>
      </x:c>
      <x:c r="D44" t="n">
        <x:v>1505</x:v>
      </x:c>
      <x:c r="E44" t="n">
        <x:v>1550</x:v>
      </x:c>
      <x:c r="F44" t="n">
        <x:v>1477</x:v>
      </x:c>
      <x:c r="G44" t="n">
        <x:v>300</x:v>
      </x:c>
      <x:c r="H44" t="n">
        <x:v>0</x:v>
      </x:c>
    </x:row>
    <x:row r="45">
      <x:c r="A45" t="str">
        <x:v>2025-08</x:v>
      </x:c>
      <x:c r="B45" t="str">
        <x:v>P102</x:v>
      </x:c>
      <x:c r="C45" t="n">
        <x:v>1867</x:v>
      </x:c>
      <x:c r="D45" t="n">
        <x:v>2472</x:v>
      </x:c>
      <x:c r="E45" t="n">
        <x:v>2550</x:v>
      </x:c>
      <x:c r="F45" t="n">
        <x:v>1789</x:v>
      </x:c>
      <x:c r="G45" t="n">
        <x:v>400</x:v>
      </x:c>
      <x:c r="H45" t="n">
        <x:v>0</x:v>
      </x:c>
    </x:row>
    <x:row r="46">
      <x:c r="A46" t="str">
        <x:v>2025-08</x:v>
      </x:c>
      <x:c r="B46" t="str">
        <x:v>P103</x:v>
      </x:c>
      <x:c r="C46" t="n">
        <x:v>590</x:v>
      </x:c>
      <x:c r="D46" t="n">
        <x:v>454</x:v>
      </x:c>
      <x:c r="E46" t="n">
        <x:v>520</x:v>
      </x:c>
      <x:c r="F46" t="n">
        <x:v>524</x:v>
      </x:c>
      <x:c r="G46" t="n">
        <x:v>100</x:v>
      </x:c>
      <x:c r="H46" t="n">
        <x:v>0</x:v>
      </x:c>
    </x:row>
    <x:row r="47">
      <x:c r="A47" t="str">
        <x:v>2025-08</x:v>
      </x:c>
      <x:c r="B47" t="str">
        <x:v>P104</x:v>
      </x:c>
      <x:c r="C47" t="n">
        <x:v>1052</x:v>
      </x:c>
      <x:c r="D47" t="n">
        <x:v>2081</x:v>
      </x:c>
      <x:c r="E47" t="n">
        <x:v>2150</x:v>
      </x:c>
      <x:c r="F47" t="n">
        <x:v>983</x:v>
      </x:c>
      <x:c r="G47" t="n">
        <x:v>350</x:v>
      </x:c>
      <x:c r="H47" t="n">
        <x:v>0</x:v>
      </x:c>
    </x:row>
    <x:row r="48">
      <x:c r="A48" t="str">
        <x:v>2025-08</x:v>
      </x:c>
      <x:c r="B48" t="str">
        <x:v>P105</x:v>
      </x:c>
      <x:c r="C48" t="n">
        <x:v>2224</x:v>
      </x:c>
      <x:c r="D48" t="n">
        <x:v>3624</x:v>
      </x:c>
      <x:c r="E48" t="n">
        <x:v>3700</x:v>
      </x:c>
      <x:c r="F48" t="n">
        <x:v>2148</x:v>
      </x:c>
      <x:c r="G48" t="n">
        <x:v>500</x:v>
      </x:c>
      <x:c r="H48" t="n">
        <x:v>0</x:v>
      </x:c>
    </x:row>
    <x:row r="49">
      <x:c r="A49" t="str">
        <x:v>2025-08</x:v>
      </x:c>
      <x:c r="B49" t="str">
        <x:v>P106</x:v>
      </x:c>
      <x:c r="C49" t="n">
        <x:v>1949</x:v>
      </x:c>
      <x:c r="D49" t="n">
        <x:v>1794</x:v>
      </x:c>
      <x:c r="E49" t="n">
        <x:v>1850</x:v>
      </x:c>
      <x:c r="F49" t="n">
        <x:v>1893</x:v>
      </x:c>
      <x:c r="G49" t="n">
        <x:v>300</x:v>
      </x:c>
      <x:c r="H49" t="n">
        <x:v>0</x:v>
      </x:c>
    </x:row>
    <x:row r="50">
      <x:c r="A50" t="str">
        <x:v>2025-09</x:v>
      </x:c>
      <x:c r="B50" t="str">
        <x:v>P101</x:v>
      </x:c>
      <x:c r="C50" t="n">
        <x:v>1477</x:v>
      </x:c>
      <x:c r="D50" t="n">
        <x:v>1396</x:v>
      </x:c>
      <x:c r="E50" t="n">
        <x:v>1450</x:v>
      </x:c>
      <x:c r="F50" t="n">
        <x:v>1423</x:v>
      </x:c>
      <x:c r="G50" t="n">
        <x:v>300</x:v>
      </x:c>
      <x:c r="H50" t="n">
        <x:v>0</x:v>
      </x:c>
    </x:row>
    <x:row r="51">
      <x:c r="A51" t="str">
        <x:v>2025-09</x:v>
      </x:c>
      <x:c r="B51" t="str">
        <x:v>P102</x:v>
      </x:c>
      <x:c r="C51" t="n">
        <x:v>1789</x:v>
      </x:c>
      <x:c r="D51" t="n">
        <x:v>2355</x:v>
      </x:c>
      <x:c r="E51" t="n">
        <x:v>2450</x:v>
      </x:c>
      <x:c r="F51" t="n">
        <x:v>1694</x:v>
      </x:c>
      <x:c r="G51" t="n">
        <x:v>400</x:v>
      </x:c>
      <x:c r="H51" t="n">
        <x:v>0</x:v>
      </x:c>
    </x:row>
    <x:row r="52">
      <x:c r="A52" t="str">
        <x:v>2025-09</x:v>
      </x:c>
      <x:c r="B52" t="str">
        <x:v>P103</x:v>
      </x:c>
      <x:c r="C52" t="n">
        <x:v>524</x:v>
      </x:c>
      <x:c r="D52" t="n">
        <x:v>421</x:v>
      </x:c>
      <x:c r="E52" t="n">
        <x:v>470</x:v>
      </x:c>
      <x:c r="F52" t="n">
        <x:v>475</x:v>
      </x:c>
      <x:c r="G52" t="n">
        <x:v>100</x:v>
      </x:c>
      <x:c r="H52" t="n">
        <x:v>0</x:v>
      </x:c>
    </x:row>
    <x:row r="53">
      <x:c r="A53" t="str">
        <x:v>2025-09</x:v>
      </x:c>
      <x:c r="B53" t="str">
        <x:v>P104</x:v>
      </x:c>
      <x:c r="C53" t="n">
        <x:v>983</x:v>
      </x:c>
      <x:c r="D53" t="n">
        <x:v>1972</x:v>
      </x:c>
      <x:c r="E53" t="n">
        <x:v>2050</x:v>
      </x:c>
      <x:c r="F53" t="n">
        <x:v>905</x:v>
      </x:c>
      <x:c r="G53" t="n">
        <x:v>350</x:v>
      </x:c>
      <x:c r="H53" t="n">
        <x:v>0</x:v>
      </x:c>
    </x:row>
    <x:row r="54">
      <x:c r="A54" t="str">
        <x:v>2025-09</x:v>
      </x:c>
      <x:c r="B54" t="str">
        <x:v>P105</x:v>
      </x:c>
      <x:c r="C54" t="n">
        <x:v>2148</x:v>
      </x:c>
      <x:c r="D54" t="n">
        <x:v>3465</x:v>
      </x:c>
      <x:c r="E54" t="n">
        <x:v>3550</x:v>
      </x:c>
      <x:c r="F54" t="n">
        <x:v>2063</x:v>
      </x:c>
      <x:c r="G54" t="n">
        <x:v>500</x:v>
      </x:c>
      <x:c r="H54" t="n">
        <x:v>0</x:v>
      </x:c>
    </x:row>
    <x:row r="55">
      <x:c r="A55" t="str">
        <x:v>2025-09</x:v>
      </x:c>
      <x:c r="B55" t="str">
        <x:v>P106</x:v>
      </x:c>
      <x:c r="C55" t="n">
        <x:v>1893</x:v>
      </x:c>
      <x:c r="D55" t="n">
        <x:v>1685</x:v>
      </x:c>
      <x:c r="E55" t="n">
        <x:v>1750</x:v>
      </x:c>
      <x:c r="F55" t="n">
        <x:v>1828</x:v>
      </x:c>
      <x:c r="G55" t="n">
        <x:v>300</x:v>
      </x:c>
      <x:c r="H55" t="n">
        <x:v>0</x:v>
      </x:c>
    </x:row>
    <x:row r="56">
      <x:c r="A56" t="str">
        <x:v>2025-10</x:v>
      </x:c>
      <x:c r="B56" t="str">
        <x:v>P101</x:v>
      </x:c>
      <x:c r="C56" t="n">
        <x:v>1423</x:v>
      </x:c>
      <x:c r="D56" t="n">
        <x:v>1553</x:v>
      </x:c>
      <x:c r="E56" t="n">
        <x:v>1650</x:v>
      </x:c>
      <x:c r="F56" t="n">
        <x:v>1326</x:v>
      </x:c>
      <x:c r="G56" t="n">
        <x:v>300</x:v>
      </x:c>
      <x:c r="H56" t="n">
        <x:v>0</x:v>
      </x:c>
    </x:row>
    <x:row r="57">
      <x:c r="A57" t="str">
        <x:v>2025-10</x:v>
      </x:c>
      <x:c r="B57" t="str">
        <x:v>P102</x:v>
      </x:c>
      <x:c r="C57" t="n">
        <x:v>1694</x:v>
      </x:c>
      <x:c r="D57" t="n">
        <x:v>2499</x:v>
      </x:c>
      <x:c r="E57" t="n">
        <x:v>2700</x:v>
      </x:c>
      <x:c r="F57" t="n">
        <x:v>1493</x:v>
      </x:c>
      <x:c r="G57" t="n">
        <x:v>400</x:v>
      </x:c>
      <x:c r="H57" t="n">
        <x:v>0</x:v>
      </x:c>
    </x:row>
    <x:row r="58">
      <x:c r="A58" t="str">
        <x:v>2025-10</x:v>
      </x:c>
      <x:c r="B58" t="str">
        <x:v>P103</x:v>
      </x:c>
      <x:c r="C58" t="n">
        <x:v>475</x:v>
      </x:c>
      <x:c r="D58" t="n">
        <x:v>448</x:v>
      </x:c>
      <x:c r="E58" t="n">
        <x:v>550</x:v>
      </x:c>
      <x:c r="F58" t="n">
        <x:v>373</x:v>
      </x:c>
      <x:c r="G58" t="n">
        <x:v>100</x:v>
      </x:c>
      <x:c r="H58" t="n">
        <x:v>0</x:v>
      </x:c>
    </x:row>
    <x:row r="59">
      <x:c r="A59" t="str">
        <x:v>2025-10</x:v>
      </x:c>
      <x:c r="B59" t="str">
        <x:v>P104</x:v>
      </x:c>
      <x:c r="C59" t="n">
        <x:v>905</x:v>
      </x:c>
      <x:c r="D59" t="n">
        <x:v>2108</x:v>
      </x:c>
      <x:c r="E59" t="n">
        <x:v>2250</x:v>
      </x:c>
      <x:c r="F59" t="n">
        <x:v>763</x:v>
      </x:c>
      <x:c r="G59" t="n">
        <x:v>350</x:v>
      </x:c>
      <x:c r="H59" t="n">
        <x:v>0</x:v>
      </x:c>
    </x:row>
    <x:row r="60">
      <x:c r="A60" t="str">
        <x:v>2025-10</x:v>
      </x:c>
      <x:c r="B60" t="str">
        <x:v>P105</x:v>
      </x:c>
      <x:c r="C60" t="n">
        <x:v>2063</x:v>
      </x:c>
      <x:c r="D60" t="n">
        <x:v>3712</x:v>
      </x:c>
      <x:c r="E60" t="n">
        <x:v>3900</x:v>
      </x:c>
      <x:c r="F60" t="n">
        <x:v>1875</x:v>
      </x:c>
      <x:c r="G60" t="n">
        <x:v>500</x:v>
      </x:c>
      <x:c r="H60" t="n">
        <x:v>0</x:v>
      </x:c>
    </x:row>
    <x:row r="61">
      <x:c r="A61" t="str">
        <x:v>2025-10</x:v>
      </x:c>
      <x:c r="B61" t="str">
        <x:v>P106</x:v>
      </x:c>
      <x:c r="C61" t="n">
        <x:v>1828</x:v>
      </x:c>
      <x:c r="D61" t="n">
        <x:v>1823</x:v>
      </x:c>
      <x:c r="E61" t="n">
        <x:v>1950</x:v>
      </x:c>
      <x:c r="F61" t="n">
        <x:v>1701</x:v>
      </x:c>
      <x:c r="G61" t="n">
        <x:v>300</x:v>
      </x:c>
      <x:c r="H61" t="n">
        <x:v>0</x:v>
      </x:c>
    </x:row>
    <x:row r="62">
      <x:c r="A62" t="str">
        <x:v>2025-11</x:v>
      </x:c>
      <x:c r="B62" t="str">
        <x:v>P101</x:v>
      </x:c>
      <x:c r="C62" t="n">
        <x:v>1326</x:v>
      </x:c>
      <x:c r="D62" t="n">
        <x:v>1621</x:v>
      </x:c>
      <x:c r="E62" t="n">
        <x:v>1800</x:v>
      </x:c>
      <x:c r="F62" t="n">
        <x:v>1147</x:v>
      </x:c>
      <x:c r="G62" t="n">
        <x:v>300</x:v>
      </x:c>
      <x:c r="H62" t="n">
        <x:v>0</x:v>
      </x:c>
    </x:row>
    <x:row r="63">
      <x:c r="A63" t="str">
        <x:v>2025-11</x:v>
      </x:c>
      <x:c r="B63" t="str">
        <x:v>P102</x:v>
      </x:c>
      <x:c r="C63" t="n">
        <x:v>1493</x:v>
      </x:c>
      <x:c r="D63" t="n">
        <x:v>2597</x:v>
      </x:c>
      <x:c r="E63" t="n">
        <x:v>2900</x:v>
      </x:c>
      <x:c r="F63" t="n">
        <x:v>1190</x:v>
      </x:c>
      <x:c r="G63" t="n">
        <x:v>400</x:v>
      </x:c>
      <x:c r="H63" t="n">
        <x:v>0</x:v>
      </x:c>
    </x:row>
    <x:row r="64">
      <x:c r="A64" t="str">
        <x:v>2025-11</x:v>
      </x:c>
      <x:c r="B64" t="str">
        <x:v>P103</x:v>
      </x:c>
      <x:c r="C64" t="n">
        <x:v>373</x:v>
      </x:c>
      <x:c r="D64" t="n">
        <x:v>437</x:v>
      </x:c>
      <x:c r="E64" t="n">
        <x:v>580</x:v>
      </x:c>
      <x:c r="F64" t="n">
        <x:v>230</x:v>
      </x:c>
      <x:c r="G64" t="n">
        <x:v>100</x:v>
      </x:c>
      <x:c r="H64" t="n">
        <x:v>0</x:v>
      </x:c>
    </x:row>
    <x:row r="65">
      <x:c r="A65" t="str">
        <x:v>2025-11</x:v>
      </x:c>
      <x:c r="B65" t="str">
        <x:v>P104</x:v>
      </x:c>
      <x:c r="C65" t="n">
        <x:v>763</x:v>
      </x:c>
      <x:c r="D65" t="n">
        <x:v>2156</x:v>
      </x:c>
      <x:c r="E65" t="n">
        <x:v>2400</x:v>
      </x:c>
      <x:c r="F65" t="n">
        <x:v>519</x:v>
      </x:c>
      <x:c r="G65" t="n">
        <x:v>350</x:v>
      </x:c>
      <x:c r="H65" t="n">
        <x:v>0</x:v>
      </x:c>
    </x:row>
    <x:row r="66">
      <x:c r="A66" t="str">
        <x:v>2025-11</x:v>
      </x:c>
      <x:c r="B66" t="str">
        <x:v>P105</x:v>
      </x:c>
      <x:c r="C66" t="n">
        <x:v>1875</x:v>
      </x:c>
      <x:c r="D66" t="n">
        <x:v>3861</x:v>
      </x:c>
      <x:c r="E66" t="n">
        <x:v>4200</x:v>
      </x:c>
      <x:c r="F66" t="n">
        <x:v>1536</x:v>
      </x:c>
      <x:c r="G66" t="n">
        <x:v>500</x:v>
      </x:c>
      <x:c r="H66" t="n">
        <x:v>0</x:v>
      </x:c>
    </x:row>
    <x:row r="67">
      <x:c r="A67" t="str">
        <x:v>2025-11</x:v>
      </x:c>
      <x:c r="B67" t="str">
        <x:v>P106</x:v>
      </x:c>
      <x:c r="C67" t="n">
        <x:v>1701</x:v>
      </x:c>
      <x:c r="D67" t="n">
        <x:v>1921</x:v>
      </x:c>
      <x:c r="E67" t="n">
        <x:v>2100</x:v>
      </x:c>
      <x:c r="F67" t="n">
        <x:v>1522</x:v>
      </x:c>
      <x:c r="G67" t="n">
        <x:v>300</x:v>
      </x:c>
      <x:c r="H67" t="n">
        <x:v>0</x:v>
      </x:c>
    </x:row>
    <x:row r="68">
      <x:c r="A68" t="str">
        <x:v>2025-12</x:v>
      </x:c>
      <x:c r="B68" t="str">
        <x:v>P101</x:v>
      </x:c>
      <x:c r="C68" t="n">
        <x:v>1147</x:v>
      </x:c>
      <x:c r="D68" t="n">
        <x:v>1719</x:v>
      </x:c>
      <x:c r="E68" t="n">
        <x:v>2000</x:v>
      </x:c>
      <x:c r="F68" t="n">
        <x:v>866</x:v>
      </x:c>
      <x:c r="G68" t="n">
        <x:v>300</x:v>
      </x:c>
      <x:c r="H68" t="n">
        <x:v>0</x:v>
      </x:c>
    </x:row>
    <x:row r="69">
      <x:c r="A69" t="str">
        <x:v>2025-12</x:v>
      </x:c>
      <x:c r="B69" t="str">
        <x:v>P102</x:v>
      </x:c>
      <x:c r="C69" t="n">
        <x:v>1190</x:v>
      </x:c>
      <x:c r="D69" t="n">
        <x:v>2645</x:v>
      </x:c>
      <x:c r="E69" t="n">
        <x:v>3100</x:v>
      </x:c>
      <x:c r="F69" t="n">
        <x:v>735</x:v>
      </x:c>
      <x:c r="G69" t="n">
        <x:v>400</x:v>
      </x:c>
      <x:c r="H69" t="n">
        <x:v>0</x:v>
      </x:c>
    </x:row>
    <x:row r="70">
      <x:c r="A70" t="str">
        <x:v>2025-12</x:v>
      </x:c>
      <x:c r="B70" t="str">
        <x:v>P103</x:v>
      </x:c>
      <x:c r="C70" t="n">
        <x:v>230</x:v>
      </x:c>
      <x:c r="D70" t="n">
        <x:v>426</x:v>
      </x:c>
      <x:c r="E70" t="n">
        <x:v>600</x:v>
      </x:c>
      <x:c r="F70" t="n">
        <x:v>56</x:v>
      </x:c>
      <x:c r="G70" t="n">
        <x:v>100</x:v>
      </x:c>
      <x:c r="H70" t="n">
        <x:v>0</x:v>
      </x:c>
    </x:row>
    <x:row r="71">
      <x:c r="A71" t="str">
        <x:v>2025-12</x:v>
      </x:c>
      <x:c r="B71" t="str">
        <x:v>P104</x:v>
      </x:c>
      <x:c r="C71" t="n">
        <x:v>519</x:v>
      </x:c>
      <x:c r="D71" t="n">
        <x:v>2254</x:v>
      </x:c>
      <x:c r="E71" t="n">
        <x:v>2600</x:v>
      </x:c>
      <x:c r="F71" t="n">
        <x:v>173</x:v>
      </x:c>
      <x:c r="G71" t="n">
        <x:v>350</x:v>
      </x:c>
      <x:c r="H71" t="n">
        <x:v>0</x:v>
      </x:c>
    </x:row>
    <x:row r="72">
      <x:c r="A72" t="str">
        <x:v>2025-12</x:v>
      </x:c>
      <x:c r="B72" t="str">
        <x:v>P105</x:v>
      </x:c>
      <x:c r="C72" t="n">
        <x:v>1536</x:v>
      </x:c>
      <x:c r="D72" t="n">
        <x:v>3960</x:v>
      </x:c>
      <x:c r="E72" t="n">
        <x:v>4500</x:v>
      </x:c>
      <x:c r="F72" t="n">
        <x:v>996</x:v>
      </x:c>
      <x:c r="G72" t="n">
        <x:v>500</x:v>
      </x:c>
      <x:c r="H72" t="n">
        <x:v>0</x:v>
      </x:c>
    </x:row>
    <x:row r="73">
      <x:c r="A73" t="str">
        <x:v>2025-12</x:v>
      </x:c>
      <x:c r="B73" t="str">
        <x:v>P106</x:v>
      </x:c>
      <x:c r="C73" t="n">
        <x:v>1522</x:v>
      </x:c>
      <x:c r="D73" t="n">
        <x:v>1970</x:v>
      </x:c>
      <x:c r="E73" t="n">
        <x:v>2300</x:v>
      </x:c>
      <x:c r="F73" t="n">
        <x:v>1192</x:v>
      </x:c>
      <x:c r="G73" t="n">
        <x:v>300</x:v>
      </x:c>
      <x:c r="H7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0" hidden="0" customWidth="1"/>
    <x:col min="5" max="5" width="19" hidden="0" customWidth="1"/>
  </x:cols>
  <x:sheetData>
    <x:row r="1">
      <x:c r="A1" s="5" t="str">
        <x:v>Month</x:v>
      </x:c>
      <x:c r="B1" s="5" t="str">
        <x:v>Production_Line</x:v>
      </x:c>
      <x:c r="C1" s="5" t="str">
        <x:v>Available_Capacity</x:v>
      </x:c>
      <x:c r="D1" s="5" t="str">
        <x:v>Planned_Production</x:v>
      </x:c>
      <x:c r="E1" s="5" t="str">
        <x:v>Actual_Production</x:v>
      </x:c>
    </x:row>
    <x:row r="2">
      <x:c r="A2" t="str">
        <x:v>2025-01</x:v>
      </x:c>
      <x:c r="B2" t="str">
        <x:v>Line 1 - Smart Electronics</x:v>
      </x:c>
      <x:c r="C2" t="n">
        <x:v>4000</x:v>
      </x:c>
      <x:c r="D2" t="n">
        <x:v>3550</x:v>
      </x:c>
      <x:c r="E2" t="n">
        <x:v>3470</x:v>
      </x:c>
    </x:row>
    <x:row r="3">
      <x:c r="A3" t="str">
        <x:v>2025-01</x:v>
      </x:c>
      <x:c r="B3" t="str">
        <x:v>Line 2 - Heavy Controls</x:v>
      </x:c>
      <x:c r="C3" t="n">
        <x:v>1200</x:v>
      </x:c>
      <x:c r="D3" t="n">
        <x:v>500</x:v>
      </x:c>
      <x:c r="E3" t="n">
        <x:v>460</x:v>
      </x:c>
    </x:row>
    <x:row r="4">
      <x:c r="A4" t="str">
        <x:v>2025-01</x:v>
      </x:c>
      <x:c r="B4" t="str">
        <x:v>Line 3 - Assembly &amp; Power</x:v>
      </x:c>
      <x:c r="C4" t="n">
        <x:v>7000</x:v>
      </x:c>
      <x:c r="D4" t="n">
        <x:v>6650</x:v>
      </x:c>
      <x:c r="E4" t="n">
        <x:v>6510</x:v>
      </x:c>
    </x:row>
    <x:row r="5">
      <x:c r="A5" t="str">
        <x:v>2025-02</x:v>
      </x:c>
      <x:c r="B5" t="str">
        <x:v>Line 1 - Smart Electronics</x:v>
      </x:c>
      <x:c r="C5" t="n">
        <x:v>4000</x:v>
      </x:c>
      <x:c r="D5" t="n">
        <x:v>3400</x:v>
      </x:c>
      <x:c r="E5" t="n">
        <x:v>3330</x:v>
      </x:c>
    </x:row>
    <x:row r="6">
      <x:c r="A6" t="str">
        <x:v>2025-02</x:v>
      </x:c>
      <x:c r="B6" t="str">
        <x:v>Line 2 - Heavy Controls</x:v>
      </x:c>
      <x:c r="C6" t="n">
        <x:v>1200</x:v>
      </x:c>
      <x:c r="D6" t="n">
        <x:v>500</x:v>
      </x:c>
      <x:c r="E6" t="n">
        <x:v>470</x:v>
      </x:c>
    </x:row>
    <x:row r="7">
      <x:c r="A7" t="str">
        <x:v>2025-02</x:v>
      </x:c>
      <x:c r="B7" t="str">
        <x:v>Line 3 - Assembly &amp; Power</x:v>
      </x:c>
      <x:c r="C7" t="n">
        <x:v>7000</x:v>
      </x:c>
      <x:c r="D7" t="n">
        <x:v>6600</x:v>
      </x:c>
      <x:c r="E7" t="n">
        <x:v>6540</x:v>
      </x:c>
    </x:row>
    <x:row r="8">
      <x:c r="A8" t="str">
        <x:v>2025-03</x:v>
      </x:c>
      <x:c r="B8" t="str">
        <x:v>Line 1 - Smart Electronics</x:v>
      </x:c>
      <x:c r="C8" t="n">
        <x:v>4000</x:v>
      </x:c>
      <x:c r="D8" t="n">
        <x:v>3650</x:v>
      </x:c>
      <x:c r="E8" t="n">
        <x:v>3600</x:v>
      </x:c>
    </x:row>
    <x:row r="9">
      <x:c r="A9" t="str">
        <x:v>2025-03</x:v>
      </x:c>
      <x:c r="B9" t="str">
        <x:v>Line 2 - Heavy Controls</x:v>
      </x:c>
      <x:c r="C9" t="n">
        <x:v>1200</x:v>
      </x:c>
      <x:c r="D9" t="n">
        <x:v>450</x:v>
      </x:c>
      <x:c r="E9" t="n">
        <x:v>430</x:v>
      </x:c>
    </x:row>
    <x:row r="10">
      <x:c r="A10" t="str">
        <x:v>2025-03</x:v>
      </x:c>
      <x:c r="B10" t="str">
        <x:v>Line 3 - Assembly &amp; Power</x:v>
      </x:c>
      <x:c r="C10" t="n">
        <x:v>7000</x:v>
      </x:c>
      <x:c r="D10" t="n">
        <x:v>6650</x:v>
      </x:c>
      <x:c r="E10" t="n">
        <x:v>6550</x:v>
      </x:c>
    </x:row>
    <x:row r="11">
      <x:c r="A11" t="str">
        <x:v>2025-04</x:v>
      </x:c>
      <x:c r="B11" t="str">
        <x:v>Line 1 - Smart Electronics</x:v>
      </x:c>
      <x:c r="C11" t="n">
        <x:v>4000</x:v>
      </x:c>
      <x:c r="D11" t="n">
        <x:v>3850</x:v>
      </x:c>
      <x:c r="E11" t="n">
        <x:v>3780</x:v>
      </x:c>
    </x:row>
    <x:row r="12">
      <x:c r="A12" t="str">
        <x:v>2025-04</x:v>
      </x:c>
      <x:c r="B12" t="str">
        <x:v>Line 2 - Heavy Controls</x:v>
      </x:c>
      <x:c r="C12" t="n">
        <x:v>1200</x:v>
      </x:c>
      <x:c r="D12" t="n">
        <x:v>500</x:v>
      </x:c>
      <x:c r="E12" t="n">
        <x:v>480</x:v>
      </x:c>
    </x:row>
    <x:row r="13">
      <x:c r="A13" t="str">
        <x:v>2025-04</x:v>
      </x:c>
      <x:c r="B13" t="str">
        <x:v>Line 3 - Assembly &amp; Power</x:v>
      </x:c>
      <x:c r="C13" t="n">
        <x:v>7000</x:v>
      </x:c>
      <x:c r="D13" t="n">
        <x:v>7100</x:v>
      </x:c>
      <x:c r="E13" t="n">
        <x:v>7000</x:v>
      </x:c>
    </x:row>
    <x:row r="14">
      <x:c r="A14" t="str">
        <x:v>2025-05</x:v>
      </x:c>
      <x:c r="B14" t="str">
        <x:v>Line 1 - Smart Electronics</x:v>
      </x:c>
      <x:c r="C14" t="n">
        <x:v>4000</x:v>
      </x:c>
      <x:c r="D14" t="n">
        <x:v>3750</x:v>
      </x:c>
      <x:c r="E14" t="n">
        <x:v>3720</x:v>
      </x:c>
    </x:row>
    <x:row r="15">
      <x:c r="A15" t="str">
        <x:v>2025-05</x:v>
      </x:c>
      <x:c r="B15" t="str">
        <x:v>Line 2 - Heavy Controls</x:v>
      </x:c>
      <x:c r="C15" t="n">
        <x:v>1200</x:v>
      </x:c>
      <x:c r="D15" t="n">
        <x:v>500</x:v>
      </x:c>
      <x:c r="E15" t="n">
        <x:v>490</x:v>
      </x:c>
    </x:row>
    <x:row r="16">
      <x:c r="A16" t="str">
        <x:v>2025-05</x:v>
      </x:c>
      <x:c r="B16" t="str">
        <x:v>Line 3 - Assembly &amp; Power</x:v>
      </x:c>
      <x:c r="C16" t="n">
        <x:v>7000</x:v>
      </x:c>
      <x:c r="D16" t="n">
        <x:v>7100</x:v>
      </x:c>
      <x:c r="E16" t="n">
        <x:v>7030</x:v>
      </x:c>
    </x:row>
    <x:row r="17">
      <x:c r="A17" t="str">
        <x:v>2025-06</x:v>
      </x:c>
      <x:c r="B17" t="str">
        <x:v>Line 1 - Smart Electronics</x:v>
      </x:c>
      <x:c r="C17" t="n">
        <x:v>4000</x:v>
      </x:c>
      <x:c r="D17" t="n">
        <x:v>4000</x:v>
      </x:c>
      <x:c r="E17" t="n">
        <x:v>3910</x:v>
      </x:c>
    </x:row>
    <x:row r="18">
      <x:c r="A18" t="str">
        <x:v>2025-06</x:v>
      </x:c>
      <x:c r="B18" t="str">
        <x:v>Line 2 - Heavy Controls</x:v>
      </x:c>
      <x:c r="C18" t="n">
        <x:v>1200</x:v>
      </x:c>
      <x:c r="D18" t="n">
        <x:v>500</x:v>
      </x:c>
      <x:c r="E18" t="n">
        <x:v>470</x:v>
      </x:c>
    </x:row>
    <x:row r="19">
      <x:c r="A19" t="str">
        <x:v>2025-06</x:v>
      </x:c>
      <x:c r="B19" t="str">
        <x:v>Line 3 - Assembly &amp; Power</x:v>
      </x:c>
      <x:c r="C19" t="n">
        <x:v>7000</x:v>
      </x:c>
      <x:c r="D19" t="n">
        <x:v>7500</x:v>
      </x:c>
      <x:c r="E19" t="n">
        <x:v>7360</x:v>
      </x:c>
    </x:row>
    <x:row r="20">
      <x:c r="A20" t="str">
        <x:v>2025-07</x:v>
      </x:c>
      <x:c r="B20" t="str">
        <x:v>Line 1 - Smart Electronics</x:v>
      </x:c>
      <x:c r="C20" t="n">
        <x:v>4000</x:v>
      </x:c>
      <x:c r="D20" t="n">
        <x:v>4100</x:v>
      </x:c>
      <x:c r="E20" t="n">
        <x:v>4020</x:v>
      </x:c>
    </x:row>
    <x:row r="21">
      <x:c r="A21" t="str">
        <x:v>2025-07</x:v>
      </x:c>
      <x:c r="B21" t="str">
        <x:v>Line 2 - Heavy Controls</x:v>
      </x:c>
      <x:c r="C21" t="n">
        <x:v>1200</x:v>
      </x:c>
      <x:c r="D21" t="n">
        <x:v>500</x:v>
      </x:c>
      <x:c r="E21" t="n">
        <x:v>480</x:v>
      </x:c>
    </x:row>
    <x:row r="22">
      <x:c r="A22" t="str">
        <x:v>2025-07</x:v>
      </x:c>
      <x:c r="B22" t="str">
        <x:v>Line 3 - Assembly &amp; Power</x:v>
      </x:c>
      <x:c r="C22" t="n">
        <x:v>7000</x:v>
      </x:c>
      <x:c r="D22" t="n">
        <x:v>7700</x:v>
      </x:c>
      <x:c r="E22" t="n">
        <x:v>7550</x:v>
      </x:c>
    </x:row>
    <x:row r="23">
      <x:c r="A23" t="str">
        <x:v>2025-08</x:v>
      </x:c>
      <x:c r="B23" t="str">
        <x:v>Line 1 - Smart Electronics</x:v>
      </x:c>
      <x:c r="C23" t="n">
        <x:v>4000</x:v>
      </x:c>
      <x:c r="D23" t="n">
        <x:v>4100</x:v>
      </x:c>
      <x:c r="E23" t="n">
        <x:v>4050</x:v>
      </x:c>
    </x:row>
    <x:row r="24">
      <x:c r="A24" t="str">
        <x:v>2025-08</x:v>
      </x:c>
      <x:c r="B24" t="str">
        <x:v>Line 2 - Heavy Controls</x:v>
      </x:c>
      <x:c r="C24" t="n">
        <x:v>1200</x:v>
      </x:c>
      <x:c r="D24" t="n">
        <x:v>500</x:v>
      </x:c>
      <x:c r="E24" t="n">
        <x:v>485</x:v>
      </x:c>
    </x:row>
    <x:row r="25">
      <x:c r="A25" t="str">
        <x:v>2025-08</x:v>
      </x:c>
      <x:c r="B25" t="str">
        <x:v>Line 3 - Assembly &amp; Power</x:v>
      </x:c>
      <x:c r="C25" t="n">
        <x:v>7000</x:v>
      </x:c>
      <x:c r="D25" t="n">
        <x:v>7700</x:v>
      </x:c>
      <x:c r="E25" t="n">
        <x:v>7600</x:v>
      </x:c>
    </x:row>
    <x:row r="26">
      <x:c r="A26" t="str">
        <x:v>2025-09</x:v>
      </x:c>
      <x:c r="B26" t="str">
        <x:v>Line 1 - Smart Electronics</x:v>
      </x:c>
      <x:c r="C26" t="n">
        <x:v>4000</x:v>
      </x:c>
      <x:c r="D26" t="n">
        <x:v>3900</x:v>
      </x:c>
      <x:c r="E26" t="n">
        <x:v>3820</x:v>
      </x:c>
    </x:row>
    <x:row r="27">
      <x:c r="A27" t="str">
        <x:v>2025-09</x:v>
      </x:c>
      <x:c r="B27" t="str">
        <x:v>Line 2 - Heavy Controls</x:v>
      </x:c>
      <x:c r="C27" t="n">
        <x:v>1200</x:v>
      </x:c>
      <x:c r="D27" t="n">
        <x:v>480</x:v>
      </x:c>
      <x:c r="E27" t="n">
        <x:v>450</x:v>
      </x:c>
    </x:row>
    <x:row r="28">
      <x:c r="A28" t="str">
        <x:v>2025-09</x:v>
      </x:c>
      <x:c r="B28" t="str">
        <x:v>Line 3 - Assembly &amp; Power</x:v>
      </x:c>
      <x:c r="C28" t="n">
        <x:v>7000</x:v>
      </x:c>
      <x:c r="D28" t="n">
        <x:v>7350</x:v>
      </x:c>
      <x:c r="E28" t="n">
        <x:v>7220</x:v>
      </x:c>
    </x:row>
    <x:row r="29">
      <x:c r="A29" t="str">
        <x:v>2025-10</x:v>
      </x:c>
      <x:c r="B29" t="str">
        <x:v>Line 1 - Smart Electronics</x:v>
      </x:c>
      <x:c r="C29" t="n">
        <x:v>4000</x:v>
      </x:c>
      <x:c r="D29" t="n">
        <x:v>4200</x:v>
      </x:c>
      <x:c r="E29" t="n">
        <x:v>4130</x:v>
      </x:c>
    </x:row>
    <x:row r="30">
      <x:c r="A30" t="str">
        <x:v>2025-10</x:v>
      </x:c>
      <x:c r="B30" t="str">
        <x:v>Line 2 - Heavy Controls</x:v>
      </x:c>
      <x:c r="C30" t="n">
        <x:v>1200</x:v>
      </x:c>
      <x:c r="D30" t="n">
        <x:v>500</x:v>
      </x:c>
      <x:c r="E30" t="n">
        <x:v>480</x:v>
      </x:c>
    </x:row>
    <x:row r="31">
      <x:c r="A31" t="str">
        <x:v>2025-10</x:v>
      </x:c>
      <x:c r="B31" t="str">
        <x:v>Line 3 - Assembly &amp; Power</x:v>
      </x:c>
      <x:c r="C31" t="n">
        <x:v>7000</x:v>
      </x:c>
      <x:c r="D31" t="n">
        <x:v>7900</x:v>
      </x:c>
      <x:c r="E31" t="n">
        <x:v>7750</x:v>
      </x:c>
    </x:row>
    <x:row r="32">
      <x:c r="A32" t="str">
        <x:v>2025-11</x:v>
      </x:c>
      <x:c r="B32" t="str">
        <x:v>Line 1 - Smart Electronics</x:v>
      </x:c>
      <x:c r="C32" t="n">
        <x:v>4000</x:v>
      </x:c>
      <x:c r="D32" t="n">
        <x:v>4400</x:v>
      </x:c>
      <x:c r="E32" t="n">
        <x:v>4300</x:v>
      </x:c>
    </x:row>
    <x:row r="33">
      <x:c r="A33" t="str">
        <x:v>2025-11</x:v>
      </x:c>
      <x:c r="B33" t="str">
        <x:v>Line 2 - Heavy Controls</x:v>
      </x:c>
      <x:c r="C33" t="n">
        <x:v>1200</x:v>
      </x:c>
      <x:c r="D33" t="n">
        <x:v>500</x:v>
      </x:c>
      <x:c r="E33" t="n">
        <x:v>470</x:v>
      </x:c>
    </x:row>
    <x:row r="34">
      <x:c r="A34" t="str">
        <x:v>2025-11</x:v>
      </x:c>
      <x:c r="B34" t="str">
        <x:v>Line 3 - Assembly &amp; Power</x:v>
      </x:c>
      <x:c r="C34" t="n">
        <x:v>7000</x:v>
      </x:c>
      <x:c r="D34" t="n">
        <x:v>8300</x:v>
      </x:c>
      <x:c r="E34" t="n">
        <x:v>8050</x:v>
      </x:c>
    </x:row>
    <x:row r="35">
      <x:c r="A35" t="str">
        <x:v>2025-12</x:v>
      </x:c>
      <x:c r="B35" t="str">
        <x:v>Line 1 - Smart Electronics</x:v>
      </x:c>
      <x:c r="C35" t="n">
        <x:v>4000</x:v>
      </x:c>
      <x:c r="D35" t="n">
        <x:v>4600</x:v>
      </x:c>
      <x:c r="E35" t="n">
        <x:v>4450</x:v>
      </x:c>
    </x:row>
    <x:row r="36">
      <x:c r="A36" t="str">
        <x:v>2025-12</x:v>
      </x:c>
      <x:c r="B36" t="str">
        <x:v>Line 2 - Heavy Controls</x:v>
      </x:c>
      <x:c r="C36" t="n">
        <x:v>1200</x:v>
      </x:c>
      <x:c r="D36" t="n">
        <x:v>500</x:v>
      </x:c>
      <x:c r="E36" t="n">
        <x:v>460</x:v>
      </x:c>
    </x:row>
    <x:row r="37">
      <x:c r="A37" t="str">
        <x:v>2025-12</x:v>
      </x:c>
      <x:c r="B37" t="str">
        <x:v>Line 3 - Assembly &amp; Power</x:v>
      </x:c>
      <x:c r="C37" t="n">
        <x:v>7000</x:v>
      </x:c>
      <x:c r="D37" t="n">
        <x:v>8600</x:v>
      </x:c>
      <x:c r="E37" t="n">
        <x:v>8300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6" hidden="0" customWidth="1"/>
    <x:col min="4" max="4" width="12" hidden="0" customWidth="1"/>
    <x:col min="5" max="5" width="38" hidden="0" customWidth="1"/>
  </x:cols>
  <x:sheetData>
    <x:row r="1">
      <x:c r="A1" s="15" t="str">
        <x:v>Operational &amp; Financial KPI Summary</x:v>
      </x:c>
      <x:c r="B1" s="15"/>
      <x:c r="C1" s="15"/>
      <x:c r="D1" s="15"/>
      <x:c r="E1" s="15"/>
    </x:row>
    <x:row r="3">
      <x:c r="A3" s="5" t="str">
        <x:v>KPI</x:v>
      </x:c>
      <x:c r="B3" s="5" t="str">
        <x:v>Formula</x:v>
      </x:c>
      <x:c r="C3" s="5" t="str">
        <x:v>Value</x:v>
      </x:c>
      <x:c r="D3" s="5" t="str">
        <x:v>Unit</x:v>
      </x:c>
      <x:c r="E3" s="5" t="str">
        <x:v>Business Meaning</x:v>
      </x:c>
    </x:row>
    <x:row r="4">
      <x:c r="A4" s="24" t="str">
        <x:v>Total Revenue</x:v>
      </x:c>
      <x:c r="B4" s="24" t="n">
        <x:f>SUM(Sales!E2:E73)</x:f>
        <x:v>11853750</x:v>
      </x:c>
      <x:c r="C4" s="25" t="n">
        <x:f>SUM(Sales!E2:E73)</x:f>
        <x:v>11853750</x:v>
      </x:c>
      <x:c r="D4" s="24" t="str">
        <x:v>$</x:v>
      </x:c>
      <x:c r="E4" s="24" t="str">
        <x:v>Total fulfilled sales revenue</x:v>
      </x:c>
    </x:row>
    <x:row r="5">
      <x:c r="A5" s="24" t="str">
        <x:v>Production Cost</x:v>
      </x:c>
      <x:c r="B5" s="24" t="n">
        <x:f>SUM(Production!F2:F73)</x:f>
        <x:v>5560910</x:v>
      </x:c>
      <x:c r="C5" s="25" t="n">
        <x:f>SUM(Production!F2:F73)</x:f>
        <x:v>5560910</x:v>
      </x:c>
      <x:c r="D5" s="24" t="str">
        <x:v>$</x:v>
      </x:c>
      <x:c r="E5" s="24" t="str">
        <x:v>Direct manufacturing cost</x:v>
      </x:c>
    </x:row>
    <x:row r="6">
      <x:c r="A6" s="24" t="str">
        <x:v>Gross Profit</x:v>
      </x:c>
      <x:c r="B6" s="24" t="n">
        <x:f>C4-C5</x:f>
        <x:v>6292840</x:v>
      </x:c>
      <x:c r="C6" s="25" t="n">
        <x:f>C4-C5</x:f>
        <x:v>6292840</x:v>
      </x:c>
      <x:c r="D6" s="24" t="str">
        <x:v>$</x:v>
      </x:c>
      <x:c r="E6" s="24" t="str">
        <x:v>Revenue less direct production cost</x:v>
      </x:c>
    </x:row>
    <x:row r="7">
      <x:c r="A7" s="24" t="str">
        <x:v>Gross Margin %</x:v>
      </x:c>
      <x:c r="B7" s="24" t="n">
        <x:f>C6/C4</x:f>
        <x:v>0.5308733523146684</x:v>
      </x:c>
      <x:c r="C7" s="26" t="n">
        <x:f>C6/C4</x:f>
        <x:v>0.5308733523146684</x:v>
      </x:c>
      <x:c r="D7" s="24" t="str">
        <x:v>%</x:v>
      </x:c>
      <x:c r="E7" s="24" t="str">
        <x:v>Gross profit as share of revenue</x:v>
      </x:c>
    </x:row>
    <x:row r="8">
      <x:c r="A8" s="24" t="str">
        <x:v>Demand Units</x:v>
      </x:c>
      <x:c r="B8" s="24" t="n">
        <x:f>SUM(Sales!C2:C73)</x:f>
        <x:v>144400</x:v>
      </x:c>
      <x:c r="C8" s="27" t="n">
        <x:f>SUM(Sales!C2:C73)</x:f>
        <x:v>144400</x:v>
      </x:c>
      <x:c r="D8" s="24" t="str">
        <x:v>units</x:v>
      </x:c>
      <x:c r="E8" s="24" t="str">
        <x:v>Requested market demand</x:v>
      </x:c>
    </x:row>
    <x:row r="9">
      <x:c r="A9" s="24" t="str">
        <x:v>Units Sold</x:v>
      </x:c>
      <x:c r="B9" s="24" t="n">
        <x:f>SUM(Sales!D2:D73)</x:f>
        <x:v>144400</x:v>
      </x:c>
      <x:c r="C9" s="27" t="n">
        <x:f>SUM(Sales!D2:D73)</x:f>
        <x:v>144400</x:v>
      </x:c>
      <x:c r="D9" s="24" t="str">
        <x:v>units</x:v>
      </x:c>
      <x:c r="E9" s="24" t="str">
        <x:v>Fulfilled demand</x:v>
      </x:c>
    </x:row>
    <x:row r="10">
      <x:c r="A10" s="24" t="str">
        <x:v>Fill Rate %</x:v>
      </x:c>
      <x:c r="B10" s="24" t="n">
        <x:f>C9/C8</x:f>
        <x:v>1</x:v>
      </x:c>
      <x:c r="C10" s="26" t="n">
        <x:f>C9/C8</x:f>
        <x:v>1</x:v>
      </x:c>
      <x:c r="D10" s="24" t="str">
        <x:v>%</x:v>
      </x:c>
      <x:c r="E10" s="24" t="str">
        <x:v>Fulfilled demand as share of demand</x:v>
      </x:c>
    </x:row>
    <x:row r="11">
      <x:c r="A11" s="24" t="str">
        <x:v>Planned Production</x:v>
      </x:c>
      <x:c r="B11" s="24" t="n">
        <x:f>SUM(Production!C2:C73)</x:f>
        <x:v>142580</x:v>
      </x:c>
      <x:c r="C11" s="27" t="n">
        <x:f>SUM(Production!C2:C73)</x:f>
        <x:v>142580</x:v>
      </x:c>
      <x:c r="D11" s="24" t="str">
        <x:v>units</x:v>
      </x:c>
      <x:c r="E11" s="24" t="str">
        <x:v>Scheduled output</x:v>
      </x:c>
    </x:row>
    <x:row r="12">
      <x:c r="A12" s="24" t="str">
        <x:v>Actual Production</x:v>
      </x:c>
      <x:c r="B12" s="24" t="n">
        <x:f>SUM(Production!D2:D73)</x:f>
        <x:v>139665</x:v>
      </x:c>
      <x:c r="C12" s="27" t="n">
        <x:f>SUM(Production!D2:D73)</x:f>
        <x:v>139665</x:v>
      </x:c>
      <x:c r="D12" s="24" t="str">
        <x:v>units</x:v>
      </x:c>
      <x:c r="E12" s="24" t="str">
        <x:v>Completed output</x:v>
      </x:c>
    </x:row>
    <x:row r="13">
      <x:c r="A13" s="24" t="str">
        <x:v>Production Achievement %</x:v>
      </x:c>
      <x:c r="B13" s="24" t="n">
        <x:f>C12/C11</x:f>
        <x:v>0.9795553373544676</x:v>
      </x:c>
      <x:c r="C13" s="26" t="n">
        <x:f>C12/C11</x:f>
        <x:v>0.9795553373544676</x:v>
      </x:c>
      <x:c r="D13" s="24" t="str">
        <x:v>%</x:v>
      </x:c>
      <x:c r="E13" s="24" t="str">
        <x:v>Actual output vs plan</x:v>
      </x:c>
    </x:row>
    <x:row r="14">
      <x:c r="A14" s="24" t="str">
        <x:v>Rejected Units</x:v>
      </x:c>
      <x:c r="B14" s="24" t="n">
        <x:f>SUM(Production!E2:E73)</x:f>
        <x:v>2447</x:v>
      </x:c>
      <x:c r="C14" s="27" t="n">
        <x:f>SUM(Production!E2:E73)</x:f>
        <x:v>2447</x:v>
      </x:c>
      <x:c r="D14" s="24" t="str">
        <x:v>units</x:v>
      </x:c>
      <x:c r="E14" s="24" t="str">
        <x:v>Units rejected by quality control</x:v>
      </x:c>
    </x:row>
    <x:row r="15">
      <x:c r="A15" s="24" t="str">
        <x:v>Rejection Rate %</x:v>
      </x:c>
      <x:c r="B15" s="24" t="n">
        <x:f>C14/C12</x:f>
        <x:v>0.01752049547130634</x:v>
      </x:c>
      <x:c r="C15" s="27" t="n">
        <x:f>C14/C12</x:f>
        <x:v>0.01752049547130634</x:v>
      </x:c>
      <x:c r="D15" s="24" t="str">
        <x:v>%</x:v>
      </x:c>
      <x:c r="E15" s="24" t="str">
        <x:v>Rejected share of actual production</x:v>
      </x:c>
    </x:row>
    <x:row r="16">
      <x:c r="A16" s="24" t="str">
        <x:v>Available Capacity</x:v>
      </x:c>
      <x:c r="B16" s="24" t="n">
        <x:f>SUM(Capacity!C2:C37)</x:f>
        <x:v>146400</x:v>
      </x:c>
      <x:c r="C16" s="26" t="n">
        <x:f>SUM(Capacity!C2:C37)</x:f>
        <x:v>146400</x:v>
      </x:c>
      <x:c r="D16" s="24" t="str">
        <x:v>units</x:v>
      </x:c>
      <x:c r="E16" s="24" t="str">
        <x:v>Total line capacity</x:v>
      </x:c>
    </x:row>
    <x:row r="17">
      <x:c r="A17" s="24" t="str">
        <x:v>Capacity Utilization %</x:v>
      </x:c>
      <x:c r="B17" s="24" t="n">
        <x:f>C12/C16</x:f>
        <x:v>0.9539959016393442</x:v>
      </x:c>
      <x:c r="C17" s="27" t="n">
        <x:f>C12/C16</x:f>
        <x:v>0.9539959016393442</x:v>
      </x:c>
      <x:c r="D17" s="24" t="str">
        <x:v>%</x:v>
      </x:c>
      <x:c r="E17" s="24" t="str">
        <x:v>Actual output vs available capacity</x:v>
      </x:c>
    </x:row>
    <x:row r="18">
      <x:c r="A18" s="24" t="str">
        <x:v>Average Inventory</x:v>
      </x:c>
      <x:c r="B18" s="24" t="n">
        <x:f>AVERAGE(Inventory!F2:F73)</x:f>
        <x:v>1510.0277777777778</x:v>
      </x:c>
      <x:c r="C18" s="27" t="n">
        <x:f>AVERAGE(Inventory!F2:F73)</x:f>
        <x:v>1510.0277777777778</x:v>
      </x:c>
      <x:c r="D18" s="24" t="str">
        <x:v>units</x:v>
      </x:c>
      <x:c r="E18" s="24" t="str">
        <x:v>Average monthly closing stock</x:v>
      </x:c>
    </x:row>
    <x:row r="19">
      <x:c r="A19" s="24" t="str">
        <x:v>Inventory Turnover</x:v>
      </x:c>
      <x:c r="B19" s="24" t="n">
        <x:f>C9/C18</x:f>
        <x:v>95.62737992310663</x:v>
      </x:c>
      <x:c r="C19" s="28" t="n">
        <x:f>C9/C18</x:f>
        <x:v>95.62737992310663</x:v>
      </x:c>
      <x:c r="D19" s="24" t="str">
        <x:v>x</x:v>
      </x:c>
      <x:c r="E19" s="24" t="str">
        <x:v>Approximate stock cycling</x:v>
      </x:c>
    </x:row>
    <x:row r="20">
      <x:c r="A20" s="24" t="str">
        <x:v>Stock-out Instances</x:v>
      </x:c>
      <x:c r="B20" s="24" t="n">
        <x:f>COUNTIF(Inventory!H2:H73,1)</x:f>
        <x:v>0</x:v>
      </x:c>
      <x:c r="C20" s="27" t="n">
        <x:f>COUNTIF(Inventory!H2:H73,1)</x:f>
        <x:v>0</x:v>
      </x:c>
      <x:c r="D20" s="24" t="str">
        <x:v>instances</x:v>
      </x:c>
      <x:c r="E20" s="24" t="str">
        <x:v>Monthly product stock-outs</x:v>
      </x:c>
    </x:row>
    <x:row r="21">
      <x:c r="A21" s="24" t="str">
        <x:v>Stock-out Rate %</x:v>
      </x:c>
      <x:c r="B21" s="24" t="n">
        <x:f>C20/COUNT(Inventory!H2:H73)</x:f>
        <x:v>0</x:v>
      </x:c>
      <x:c r="C21" s="26" t="n">
        <x:f>C20/COUNT(Inventory!H2:H73)</x:f>
        <x:v>0</x:v>
      </x:c>
      <x:c r="D21" s="24" t="str">
        <x:v>%</x:v>
      </x:c>
      <x:c r="E21" s="24" t="str">
        <x:v>Stock-out instances as share of product-months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" t="str">
        <x:v>Product</x:v>
      </x:c>
      <x:c r="B1" s="5" t="str">
        <x:v>Demand Units</x:v>
      </x:c>
      <x:c r="C1" s="5" t="str">
        <x:v>Units Sold</x:v>
      </x:c>
      <x:c r="D1" s="5" t="str">
        <x:v>Fill Rate</x:v>
      </x:c>
      <x:c r="E1" s="5" t="str">
        <x:v>Revenue</x:v>
      </x:c>
      <x:c r="F1" s="5" t="str">
        <x:v>Production Cost</x:v>
      </x:c>
      <x:c r="G1" s="5" t="str">
        <x:v>Gross Margin</x:v>
      </x:c>
    </x:row>
    <x:row r="2">
      <x:c r="A2" t="str">
        <x:v>Smart Thermostat Pro</x:v>
      </x:c>
      <x:c r="B2" t="n">
        <x:v>17950</x:v>
      </x:c>
      <x:c r="C2" t="n">
        <x:v>17950</x:v>
      </x:c>
      <x:c r="D2" s="18" t="n">
        <x:v>1</x:v>
      </x:c>
      <x:c r="E2" s="12" t="n">
        <x:v>2154000</x:v>
      </x:c>
      <x:c r="F2" s="12" t="n">
        <x:v>1125800</x:v>
      </x:c>
      <x:c r="G2" s="18" t="n">
        <x:v>0.47734447539461466</x:v>
      </x:c>
    </x:row>
    <x:row r="3">
      <x:c r="A3" t="str">
        <x:v>Eco-Sensor Hub</x:v>
      </x:c>
      <x:c r="B3" t="n">
        <x:v>30150</x:v>
      </x:c>
      <x:c r="C3" t="n">
        <x:v>30150</x:v>
      </x:c>
      <x:c r="D3" s="18" t="n">
        <x:v>1</x:v>
      </x:c>
      <x:c r="E3" s="12" t="n">
        <x:v>1658250</x:v>
      </x:c>
      <x:c r="F3" s="12" t="n">
        <x:v>877800</x:v>
      </x:c>
      <x:c r="G3" s="18" t="n">
        <x:v>0.47064676616915424</x:v>
      </x:c>
    </x:row>
    <x:row r="4">
      <x:c r="A4" t="str">
        <x:v>Industrial Controller X</x:v>
      </x:c>
      <x:c r="B4" t="n">
        <x:v>6100</x:v>
      </x:c>
      <x:c r="C4" t="n">
        <x:v>6100</x:v>
      </x:c>
      <x:c r="D4" s="18" t="n">
        <x:v>1</x:v>
      </x:c>
      <x:c r="E4" s="12" t="n">
        <x:v>2745000</x:v>
      </x:c>
      <x:c r="F4" s="12" t="n">
        <x:v>1181250</x:v>
      </x:c>
      <x:c r="G4" s="18" t="n">
        <x:v>0.569672131147541</x:v>
      </x:c>
    </x:row>
    <x:row r="5">
      <x:c r="A5" t="str">
        <x:v>Automation Relay V2</x:v>
      </x:c>
      <x:c r="B5" t="n">
        <x:v>25150</x:v>
      </x:c>
      <x:c r="C5" t="n">
        <x:v>25150</x:v>
      </x:c>
      <x:c r="D5" s="18" t="n">
        <x:v>1</x:v>
      </x:c>
      <x:c r="E5" s="12" t="n">
        <x:v>2263500</x:v>
      </x:c>
      <x:c r="F5" s="12" t="n">
        <x:v>1093050</x:v>
      </x:c>
      <x:c r="G5" s="18" t="n">
        <x:v>0.5170974155069582</x:v>
      </x:c>
    </x:row>
    <x:row r="6">
      <x:c r="A6" t="str">
        <x:v>Wearable Battery Pack</x:v>
      </x:c>
      <x:c r="B6" t="n">
        <x:v>43500</x:v>
      </x:c>
      <x:c r="C6" t="n">
        <x:v>43500</x:v>
      </x:c>
      <x:c r="D6" s="18" t="n">
        <x:v>1</x:v>
      </x:c>
      <x:c r="E6" s="12" t="n">
        <x:v>1740000</x:v>
      </x:c>
      <x:c r="F6" s="12" t="n">
        <x:v>761760</x:v>
      </x:c>
      <x:c r="G6" s="18" t="n">
        <x:v>0.5622068965517242</x:v>
      </x:c>
    </x:row>
    <x:row r="7">
      <x:c r="A7" t="str">
        <x:v>Solar Power Bank 10K</x:v>
      </x:c>
      <x:c r="B7" t="n">
        <x:v>21550</x:v>
      </x:c>
      <x:c r="C7" t="n">
        <x:v>21550</x:v>
      </x:c>
      <x:c r="D7" s="18" t="n">
        <x:v>1</x:v>
      </x:c>
      <x:c r="E7" s="12" t="n">
        <x:v>1293000</x:v>
      </x:c>
      <x:c r="F7" s="12" t="n">
        <x:v>521250</x:v>
      </x:c>
      <x:c r="G7" s="18" t="n">
        <x:v>0.5968677494199536</x:v>
      </x:c>
    </x:row>
  </x:sheetData>
  <x:pageMargins left="0.7" right="0.7" top="0.75" bottom="0.75" header="0.3" footer="0.3"/>
</x:worksheet>
</file>